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a356b9bcff25803/THANH PHU/9. DUNG CHUNG HANH CHINH/8. MASTER LIST VÀ DỰ CHI/"/>
    </mc:Choice>
  </mc:AlternateContent>
  <xr:revisionPtr revIDLastSave="8" documentId="13_ncr:1_{F973BF87-F994-4502-9E54-3A2C916221D4}" xr6:coauthVersionLast="47" xr6:coauthVersionMax="47" xr10:uidLastSave="{40C8262A-1011-4405-B84F-C09862668FBE}"/>
  <bookViews>
    <workbookView xWindow="-108" yWindow="-108" windowWidth="23256" windowHeight="12576" tabRatio="580" activeTab="1" xr2:uid="{00000000-000D-0000-FFFF-FFFF00000000}"/>
  </bookViews>
  <sheets>
    <sheet name="Huong dan su dung" sheetId="20" r:id="rId1"/>
    <sheet name="Master List" sheetId="1" r:id="rId2"/>
    <sheet name="Nghỉ việc" sheetId="2" r:id="rId3"/>
    <sheet name="Lay so HDTV &amp; MSNV" sheetId="19" r:id="rId4"/>
    <sheet name="Theo doi rieng HĐTV" sheetId="3" r:id="rId5"/>
    <sheet name="Lay so HDLD" sheetId="16" r:id="rId6"/>
    <sheet name="Danh mục HDLD" sheetId="17" r:id="rId7"/>
    <sheet name="DS Đoàn Viên" sheetId="5" r:id="rId8"/>
    <sheet name="DSTK2021" sheetId="6" state="hidden" r:id="rId9"/>
    <sheet name="DSTK2022" sheetId="11" state="hidden" r:id="rId10"/>
    <sheet name="Trung thu 2025" sheetId="13" r:id="rId11"/>
    <sheet name="Thong ke" sheetId="15" r:id="rId12"/>
    <sheet name="DSHD" sheetId="12" state="hidden" r:id="rId13"/>
  </sheets>
  <externalReferences>
    <externalReference r:id="rId14"/>
  </externalReferences>
  <definedNames>
    <definedName name="_xlnm._FilterDatabase" localSheetId="7" hidden="1">'DS Đoàn Viên'!$A$5:$H$54</definedName>
    <definedName name="_xlnm._FilterDatabase" localSheetId="9" hidden="1">DSTK2022!$A$2:$F$51</definedName>
    <definedName name="_xlnm._FilterDatabase" localSheetId="1" hidden="1">'Master List'!$A$2:$BG$67</definedName>
    <definedName name="_xlnm._FilterDatabase" localSheetId="2" hidden="1">'Nghỉ việc'!$A$3:$BG$90</definedName>
    <definedName name="_xlnm._FilterDatabase" localSheetId="4" hidden="1">'Theo doi rieng HĐTV'!$A$3:$K$462</definedName>
    <definedName name="_xlnm._FilterDatabase" localSheetId="10" hidden="1">'Trung thu 2025'!$A$4:$E$74</definedName>
    <definedName name="_xlnm.Print_Area" localSheetId="7">'DS Đoàn Viên'!$A$1:$G$52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8" i="2" l="1"/>
  <c r="A98" i="2"/>
  <c r="A96" i="2" l="1"/>
  <c r="A97" i="2"/>
  <c r="F68" i="1" l="1"/>
  <c r="A68" i="1"/>
  <c r="AF97" i="2"/>
  <c r="F97" i="2"/>
  <c r="F96" i="2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F95" i="2"/>
  <c r="A95" i="2"/>
  <c r="F67" i="1"/>
  <c r="AF93" i="2"/>
  <c r="F93" i="2"/>
  <c r="A93" i="2"/>
  <c r="AF94" i="2"/>
  <c r="F94" i="2"/>
  <c r="A94" i="2"/>
  <c r="F65" i="1"/>
  <c r="F66" i="1"/>
  <c r="A4" i="1"/>
  <c r="F92" i="2"/>
  <c r="A92" i="2"/>
  <c r="A89" i="2"/>
  <c r="A90" i="2"/>
  <c r="A91" i="2"/>
  <c r="F91" i="2"/>
  <c r="F90" i="2"/>
  <c r="F89" i="2" l="1"/>
  <c r="BG1" i="1"/>
  <c r="A5" i="20"/>
  <c r="A6" i="20" s="1"/>
  <c r="A7" i="20" s="1"/>
  <c r="A8" i="20" s="1"/>
  <c r="A9" i="20" s="1"/>
  <c r="F64" i="1"/>
  <c r="BF2" i="1" l="1"/>
  <c r="B2" i="2"/>
  <c r="C2" i="2" s="1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1" i="1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D19" i="15"/>
  <c r="E19" i="15"/>
  <c r="C19" i="15"/>
  <c r="F6" i="15" s="1"/>
  <c r="K111" i="3"/>
  <c r="AF86" i="2"/>
  <c r="AF85" i="2"/>
  <c r="AF84" i="2"/>
  <c r="AF83" i="2"/>
  <c r="AF82" i="2"/>
  <c r="F61" i="1"/>
  <c r="F62" i="1"/>
  <c r="F63" i="1"/>
  <c r="A77" i="13"/>
  <c r="A76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5" i="13"/>
  <c r="K110" i="3"/>
  <c r="A3" i="1"/>
  <c r="A107" i="3"/>
  <c r="F58" i="1"/>
  <c r="F59" i="1"/>
  <c r="F60" i="1"/>
  <c r="AE93" i="2" l="1"/>
  <c r="AE98" i="2"/>
  <c r="AE95" i="2"/>
  <c r="AE97" i="2"/>
  <c r="AE67" i="1"/>
  <c r="AE68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AE66" i="1"/>
  <c r="AE92" i="2"/>
  <c r="AE94" i="2"/>
  <c r="BG2" i="2"/>
  <c r="AE91" i="2"/>
  <c r="AE90" i="2"/>
  <c r="AE3" i="1"/>
  <c r="F17" i="15"/>
  <c r="F13" i="15"/>
  <c r="F9" i="15"/>
  <c r="F5" i="15"/>
  <c r="F16" i="15"/>
  <c r="F12" i="15"/>
  <c r="F8" i="15"/>
  <c r="F4" i="15"/>
  <c r="F3" i="15"/>
  <c r="F15" i="15"/>
  <c r="F11" i="15"/>
  <c r="F7" i="15"/>
  <c r="F18" i="15"/>
  <c r="F14" i="15"/>
  <c r="F10" i="15"/>
  <c r="AE64" i="1"/>
  <c r="AE89" i="2"/>
  <c r="AE58" i="1"/>
  <c r="AE65" i="1"/>
  <c r="AE15" i="1"/>
  <c r="AE28" i="1"/>
  <c r="AE47" i="1"/>
  <c r="AE42" i="1"/>
  <c r="AE50" i="1"/>
  <c r="AE46" i="1"/>
  <c r="AE55" i="1"/>
  <c r="AE32" i="1"/>
  <c r="AE53" i="1"/>
  <c r="AE30" i="1"/>
  <c r="AE44" i="1"/>
  <c r="AE22" i="1"/>
  <c r="AE37" i="1"/>
  <c r="AE13" i="1"/>
  <c r="AE36" i="1"/>
  <c r="AE4" i="1"/>
  <c r="AE6" i="1"/>
  <c r="AE41" i="1"/>
  <c r="AE35" i="1"/>
  <c r="AE27" i="1"/>
  <c r="AE20" i="1"/>
  <c r="AE12" i="1"/>
  <c r="AE49" i="1"/>
  <c r="AE56" i="1"/>
  <c r="AE48" i="1"/>
  <c r="AE40" i="1"/>
  <c r="AE34" i="1"/>
  <c r="AE26" i="1"/>
  <c r="AE19" i="1"/>
  <c r="AE11" i="1"/>
  <c r="AE9" i="1"/>
  <c r="AE39" i="1"/>
  <c r="AE33" i="1"/>
  <c r="AE25" i="1"/>
  <c r="AE18" i="1"/>
  <c r="AE10" i="1"/>
  <c r="AE57" i="1"/>
  <c r="AE24" i="1"/>
  <c r="AE17" i="1"/>
  <c r="AE8" i="1"/>
  <c r="AE54" i="1"/>
  <c r="AE52" i="1"/>
  <c r="AE45" i="1"/>
  <c r="AE38" i="1"/>
  <c r="AE31" i="1"/>
  <c r="AE23" i="1"/>
  <c r="AE16" i="1"/>
  <c r="AE7" i="1"/>
  <c r="AE61" i="1"/>
  <c r="AE51" i="1"/>
  <c r="AE43" i="1"/>
  <c r="AE29" i="1"/>
  <c r="AE21" i="1"/>
  <c r="AE14" i="1"/>
  <c r="AE5" i="1"/>
  <c r="AE63" i="1"/>
  <c r="AE62" i="1"/>
  <c r="AE60" i="1"/>
  <c r="AE59" i="1"/>
  <c r="F57" i="1"/>
  <c r="F19" i="15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3" i="1"/>
  <c r="A86" i="3" l="1"/>
  <c r="AF74" i="2" l="1"/>
  <c r="A85" i="3" l="1"/>
  <c r="A87" i="3"/>
  <c r="A88" i="3"/>
  <c r="K88" i="3"/>
  <c r="AF67" i="2" l="1"/>
  <c r="AF68" i="2"/>
  <c r="K77" i="3" l="1"/>
  <c r="AF65" i="2" l="1"/>
  <c r="AF66" i="2"/>
  <c r="AF5" i="1" l="1"/>
  <c r="AF6" i="1"/>
  <c r="AF7" i="1"/>
  <c r="AF8" i="1"/>
  <c r="AF9" i="1"/>
  <c r="AF10" i="1"/>
  <c r="AF11" i="1"/>
  <c r="AF13" i="1"/>
  <c r="AF14" i="1"/>
  <c r="AF15" i="1"/>
  <c r="AF16" i="1"/>
  <c r="AF17" i="1"/>
  <c r="AF18" i="1"/>
  <c r="AF19" i="1"/>
  <c r="AF20" i="1"/>
  <c r="AF21" i="1"/>
  <c r="AF22" i="1"/>
  <c r="AF24" i="1"/>
  <c r="AF25" i="1"/>
  <c r="AF28" i="1"/>
  <c r="AF29" i="1"/>
  <c r="AF30" i="1"/>
  <c r="AF32" i="1"/>
  <c r="AF34" i="1"/>
  <c r="AF35" i="1"/>
  <c r="AF37" i="1"/>
  <c r="AF38" i="1"/>
  <c r="AF39" i="1"/>
  <c r="AF40" i="1"/>
  <c r="AF41" i="1"/>
  <c r="AF43" i="1"/>
  <c r="AF44" i="1"/>
  <c r="AF45" i="1"/>
  <c r="AF47" i="1"/>
  <c r="AF3" i="1"/>
  <c r="K75" i="3" l="1"/>
  <c r="K74" i="3"/>
  <c r="K67" i="3" l="1"/>
  <c r="A59" i="3" l="1"/>
  <c r="A60" i="3"/>
  <c r="A61" i="3"/>
  <c r="A56" i="3" l="1"/>
  <c r="A57" i="3"/>
  <c r="A58" i="3"/>
  <c r="A52" i="3" l="1"/>
  <c r="A53" i="3"/>
  <c r="A54" i="3"/>
  <c r="A39" i="3" l="1"/>
  <c r="A40" i="3"/>
  <c r="A41" i="3"/>
  <c r="A42" i="3"/>
  <c r="A43" i="3"/>
  <c r="A44" i="3"/>
  <c r="A45" i="3"/>
  <c r="A46" i="3"/>
  <c r="E21" i="5" l="1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6" i="5"/>
  <c r="A36" i="3" l="1"/>
  <c r="A23" i="3" l="1"/>
  <c r="A24" i="3"/>
  <c r="A25" i="3"/>
  <c r="A26" i="3"/>
  <c r="A27" i="3"/>
  <c r="A28" i="3"/>
  <c r="A29" i="3"/>
  <c r="A30" i="3"/>
  <c r="A31" i="3"/>
  <c r="A32" i="3"/>
  <c r="A33" i="3"/>
  <c r="A34" i="3"/>
  <c r="A35" i="3"/>
  <c r="A37" i="3"/>
  <c r="A38" i="3"/>
  <c r="A47" i="3"/>
  <c r="A48" i="3"/>
  <c r="A49" i="3"/>
  <c r="A50" i="3"/>
  <c r="A51" i="3"/>
  <c r="A55" i="3"/>
  <c r="A62" i="3"/>
  <c r="A63" i="3"/>
  <c r="A64" i="3"/>
  <c r="A65" i="3"/>
  <c r="A67" i="3"/>
  <c r="A66" i="3"/>
  <c r="A68" i="3"/>
  <c r="A69" i="3"/>
  <c r="A70" i="3"/>
  <c r="A72" i="3"/>
  <c r="A71" i="3"/>
  <c r="A73" i="3"/>
  <c r="A74" i="3"/>
  <c r="A75" i="3"/>
  <c r="A77" i="3"/>
  <c r="A78" i="3"/>
  <c r="A76" i="3"/>
  <c r="A81" i="3"/>
  <c r="A80" i="3"/>
  <c r="A79" i="3"/>
  <c r="A82" i="3"/>
  <c r="A83" i="3"/>
  <c r="A84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5" i="3" l="1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6" i="2" l="1"/>
  <c r="A5" i="2"/>
  <c r="A4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TRINH</author>
    <author>THANHPHU</author>
  </authors>
  <commentList>
    <comment ref="AB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TRINH:</t>
        </r>
        <r>
          <rPr>
            <sz val="9"/>
            <color indexed="81"/>
            <rFont val="Tahoma"/>
            <family val="2"/>
          </rPr>
          <t xml:space="preserve">
ngày cũ: 01/08/2019
nghỉ khoảng 3-4 tháng  vào làm lại</t>
        </r>
      </text>
    </comment>
    <comment ref="O2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TRINH:</t>
        </r>
        <r>
          <rPr>
            <sz val="9"/>
            <color indexed="81"/>
            <rFont val="Tahoma"/>
            <family val="2"/>
          </rPr>
          <t xml:space="preserve">
Số cũ: '0764731557</t>
        </r>
      </text>
    </comment>
    <comment ref="E2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TRINH:</t>
        </r>
        <r>
          <rPr>
            <sz val="9"/>
            <color indexed="81"/>
            <rFont val="Tahoma"/>
            <family val="2"/>
          </rPr>
          <t xml:space="preserve">
Ngày sinh: 17/12/1990</t>
        </r>
      </text>
    </comment>
    <comment ref="J56" authorId="1" shapeId="0" xr:uid="{98C34022-744F-444F-B2EC-E7A4E5EE2447}">
      <text>
        <r>
          <rPr>
            <b/>
            <sz val="9"/>
            <color indexed="81"/>
            <rFont val="Tahoma"/>
            <family val="2"/>
          </rPr>
          <t>THANHPHU:</t>
        </r>
        <r>
          <rPr>
            <sz val="9"/>
            <color indexed="81"/>
            <rFont val="Tahoma"/>
            <family val="2"/>
          </rPr>
          <t xml:space="preserve">
Đã thay đổi đ/c hành chính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TRINH</author>
    <author/>
  </authors>
  <commentList>
    <comment ref="C2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TRINH:</t>
        </r>
        <r>
          <rPr>
            <sz val="9"/>
            <color indexed="81"/>
            <rFont val="Tahoma"/>
            <family val="2"/>
          </rPr>
          <t xml:space="preserve">
Làm HĐ tín dụng (ng quen sếp)
</t>
        </r>
      </text>
    </comment>
    <comment ref="AB5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TRINH:</t>
        </r>
        <r>
          <rPr>
            <sz val="9"/>
            <color indexed="81"/>
            <rFont val="Tahoma"/>
            <family val="2"/>
          </rPr>
          <t xml:space="preserve">
Ngày cũ: 28/08/2019, nghỉ việc 3 tháng vào làm lại</t>
        </r>
      </text>
    </comment>
    <comment ref="AA61" authorId="1" shapeId="0" xr:uid="{00000000-0006-0000-0200-000003000000}">
      <text>
        <r>
          <rPr>
            <sz val="10"/>
            <color rgb="FF000000"/>
            <rFont val="Arial"/>
            <family val="2"/>
          </rPr>
          <t>Người trả lời đã cập nhật giá trị này.</t>
        </r>
      </text>
    </comment>
    <comment ref="AB66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TRINH:</t>
        </r>
        <r>
          <rPr>
            <sz val="9"/>
            <color indexed="81"/>
            <rFont val="Tahoma"/>
            <family val="2"/>
          </rPr>
          <t xml:space="preserve">
ngày cũ 06/05/2015, nghỉ 1 năm 2018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TRINH</author>
    <author>THANHPHU</author>
  </authors>
  <commentList>
    <comment ref="L1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TRINH:</t>
        </r>
        <r>
          <rPr>
            <sz val="9"/>
            <color indexed="81"/>
            <rFont val="Tahoma"/>
            <family val="2"/>
          </rPr>
          <t xml:space="preserve">
Tăng từ 01/03/2022
Mức cũ: 7000,000</t>
        </r>
      </text>
    </comment>
    <comment ref="K2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TRINH:</t>
        </r>
        <r>
          <rPr>
            <sz val="9"/>
            <color indexed="81"/>
            <rFont val="Tahoma"/>
            <family val="2"/>
          </rPr>
          <t xml:space="preserve">
Mức lương cũ</t>
        </r>
      </text>
    </comment>
    <comment ref="L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TRINH:</t>
        </r>
        <r>
          <rPr>
            <sz val="9"/>
            <color indexed="81"/>
            <rFont val="Tahoma"/>
            <family val="2"/>
          </rPr>
          <t xml:space="preserve">
Mức lương mới từ 01/08/2022</t>
        </r>
      </text>
    </comment>
    <comment ref="K2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TRINH:</t>
        </r>
        <r>
          <rPr>
            <sz val="9"/>
            <color indexed="81"/>
            <rFont val="Tahoma"/>
            <family val="2"/>
          </rPr>
          <t xml:space="preserve">
Mức lương cũ</t>
        </r>
      </text>
    </comment>
    <comment ref="L2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TRINH:</t>
        </r>
        <r>
          <rPr>
            <sz val="9"/>
            <color indexed="81"/>
            <rFont val="Tahoma"/>
            <family val="2"/>
          </rPr>
          <t xml:space="preserve">
Mức lương mới từ 01/08/2022</t>
        </r>
      </text>
    </comment>
    <comment ref="I91" authorId="1" shapeId="0" xr:uid="{54F134CF-E963-4A2C-B8F5-541EA009777E}">
      <text>
        <r>
          <rPr>
            <b/>
            <sz val="9"/>
            <color indexed="81"/>
            <rFont val="Tahoma"/>
            <family val="2"/>
          </rPr>
          <t>THANHPHU:</t>
        </r>
        <r>
          <rPr>
            <sz val="9"/>
            <color indexed="81"/>
            <rFont val="Tahoma"/>
            <family val="2"/>
          </rPr>
          <t xml:space="preserve">
ngày ký hợp đồng là 03/02/2025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TRINH</author>
  </authors>
  <commentList>
    <comment ref="D18" authorId="0" shapeId="0" xr:uid="{8A4D7D15-A2D6-4C64-87AA-CBC65F6001BD}">
      <text>
        <r>
          <rPr>
            <b/>
            <sz val="9"/>
            <color indexed="81"/>
            <rFont val="Tahoma"/>
            <family val="2"/>
          </rPr>
          <t>TRINH:</t>
        </r>
        <r>
          <rPr>
            <sz val="9"/>
            <color indexed="81"/>
            <rFont val="Tahoma"/>
            <family val="2"/>
          </rPr>
          <t xml:space="preserve">
ngày cũ: 01/08/2019
nghỉ khoảng 3-4 tháng  vào làm lại</t>
        </r>
      </text>
    </comment>
  </commentList>
</comments>
</file>

<file path=xl/sharedStrings.xml><?xml version="1.0" encoding="utf-8"?>
<sst xmlns="http://schemas.openxmlformats.org/spreadsheetml/2006/main" count="4010" uniqueCount="1859">
  <si>
    <t>Stt</t>
  </si>
  <si>
    <t>Họ và tên
Nhân viên</t>
  </si>
  <si>
    <t>Giới tính</t>
  </si>
  <si>
    <t>Ngày sinh</t>
  </si>
  <si>
    <t>Tháng sinh nhật</t>
  </si>
  <si>
    <t>CCCD</t>
  </si>
  <si>
    <t>Ngày cấp CCCD</t>
  </si>
  <si>
    <t>Nơi cấp CCCD</t>
  </si>
  <si>
    <t>Số nhà/ Đường
(nơi ở hiện tại)</t>
  </si>
  <si>
    <t>Phường/ Xã
(nơi ở hiện tại)</t>
  </si>
  <si>
    <t>Quận/ Huyện
(nơi ở hiện tại)</t>
  </si>
  <si>
    <t>Thành phố/ Tỉnh
(nơi ở hiện tại)</t>
  </si>
  <si>
    <t>Số điện thoại liên lạc</t>
  </si>
  <si>
    <t>Họ tên người liên hệ khẩn cấp</t>
  </si>
  <si>
    <t>Mối quan hệ</t>
  </si>
  <si>
    <t>Số điện thoại
người thân</t>
  </si>
  <si>
    <t>Số sổ BHXH</t>
  </si>
  <si>
    <t>Nghề nghiệp</t>
  </si>
  <si>
    <t>Vị trí</t>
  </si>
  <si>
    <t>Phòng ban</t>
  </si>
  <si>
    <t>Quản lý trực tiếp</t>
  </si>
  <si>
    <t>Bằng cấp chuyên môn/ Trình độ văn hóa cao nhất</t>
  </si>
  <si>
    <t>Chuyên ngành</t>
  </si>
  <si>
    <t>Địa chỉ email (nếu có)</t>
  </si>
  <si>
    <t>Ngày thử việc</t>
  </si>
  <si>
    <t>Ngày nhận việc chính thức</t>
  </si>
  <si>
    <t>Ngày ký hợp đồng</t>
  </si>
  <si>
    <t>Thâm niên
làm việc</t>
  </si>
  <si>
    <t>Tháng đóng BHXH</t>
  </si>
  <si>
    <t>Số HĐLĐ cũ</t>
  </si>
  <si>
    <t>Mức đóng BHXH trên HĐLĐ cũ</t>
  </si>
  <si>
    <t>STK cá nhân</t>
  </si>
  <si>
    <t>Ghi chú</t>
  </si>
  <si>
    <t>Phạm Hoàng Anh</t>
  </si>
  <si>
    <t>Nam</t>
  </si>
  <si>
    <t>086077004305</t>
  </si>
  <si>
    <t>10/05/2021</t>
  </si>
  <si>
    <t>CTCCSQLHCVTTXH</t>
  </si>
  <si>
    <t>22A Vũ Ngọc Phan, P. 13, Q. Bình Thạnh, TP. HCM</t>
  </si>
  <si>
    <t>22A Vũ Ngọc Phan</t>
  </si>
  <si>
    <t>Bình Thạnh</t>
  </si>
  <si>
    <t>Hồ Chí Minh</t>
  </si>
  <si>
    <t>0968888878, 0913148259</t>
  </si>
  <si>
    <t>0205105429</t>
  </si>
  <si>
    <t>Tổng Giám đốc</t>
  </si>
  <si>
    <t>Ban Giám Đốc</t>
  </si>
  <si>
    <t>Phạm Hoàng Em</t>
  </si>
  <si>
    <t>079079021883</t>
  </si>
  <si>
    <t>10/07/2021</t>
  </si>
  <si>
    <t>15/83/107 Võ Duy Ninh, P.22, Q. Bình Thạnh, TP.HCM</t>
  </si>
  <si>
    <t>56/25 đường số 4</t>
  </si>
  <si>
    <t>Hiệp Bình Chánh</t>
  </si>
  <si>
    <t>Tp. Thủ Đức</t>
  </si>
  <si>
    <t>0914353320</t>
  </si>
  <si>
    <t>0205105425</t>
  </si>
  <si>
    <t>Thạc sĩ kinh tế</t>
  </si>
  <si>
    <t>Phó Tổng Giám đốc</t>
  </si>
  <si>
    <t>Thạc sĩ kinh tế (QTKD)</t>
  </si>
  <si>
    <t>hoangpham15051979@gmail.com</t>
  </si>
  <si>
    <t>T07/2022</t>
  </si>
  <si>
    <t>01/HĐLĐ/2020/PĐ</t>
  </si>
  <si>
    <t>Phú Đức</t>
  </si>
  <si>
    <t>Nguyễn Hiếu Thiện</t>
  </si>
  <si>
    <t>079072004383</t>
  </si>
  <si>
    <t>22/12/2021</t>
  </si>
  <si>
    <t>78/21/52, Đường số 11, P.11, Gò Vấp, TP HCM</t>
  </si>
  <si>
    <t>78/21/52, Đường số 11</t>
  </si>
  <si>
    <t>Phường 11</t>
  </si>
  <si>
    <t>Gò Vấp</t>
  </si>
  <si>
    <t>0914303825</t>
  </si>
  <si>
    <t>Lê Thị Xuân Mai</t>
  </si>
  <si>
    <t>Vợ</t>
  </si>
  <si>
    <t>0909591266</t>
  </si>
  <si>
    <t>0203097816</t>
  </si>
  <si>
    <t>Kỹ sư xây dựng</t>
  </si>
  <si>
    <t>nguyenhieuthien72@gmail.com</t>
  </si>
  <si>
    <t>03/HĐLĐ/2018/TP</t>
  </si>
  <si>
    <t>Nguyễn Bảo Ngọc</t>
  </si>
  <si>
    <t>Nữ</t>
  </si>
  <si>
    <t>079194022415</t>
  </si>
  <si>
    <t>09/08/2021</t>
  </si>
  <si>
    <t>56/36/13, Đường số 4, Khu phố 2, Hiệp Bình Chánh, TP Thủ Đức</t>
  </si>
  <si>
    <t>56/36/13 đường số 4</t>
  </si>
  <si>
    <t>Thủ Đức</t>
  </si>
  <si>
    <t>0764969379</t>
  </si>
  <si>
    <t>Tạ Ngọc Hoàng Quân</t>
  </si>
  <si>
    <t>Chổng</t>
  </si>
  <si>
    <t>0988990033</t>
  </si>
  <si>
    <t>7916450461</t>
  </si>
  <si>
    <t>Hành chính - Nhân sự</t>
  </si>
  <si>
    <t>Nhân viên Hành Chính Nhân Sự</t>
  </si>
  <si>
    <t>Phan Hoài Minh</t>
  </si>
  <si>
    <t>Cử nhân tài chính doanh nghiệp</t>
  </si>
  <si>
    <t>ngocnb2407@gmail.com</t>
  </si>
  <si>
    <t>05/HĐLĐ/2021/TP</t>
  </si>
  <si>
    <t>Huỳnh Văn Lũy</t>
  </si>
  <si>
    <t>046081003631</t>
  </si>
  <si>
    <t>27/12/2021</t>
  </si>
  <si>
    <t>Phú Thuận ,Phú Vang , Thừa Thiên Huế</t>
  </si>
  <si>
    <t>108/7 đường số 1</t>
  </si>
  <si>
    <t>0389636252</t>
  </si>
  <si>
    <t>Nguyễn Thị Thương</t>
  </si>
  <si>
    <t>0937191886</t>
  </si>
  <si>
    <t>Tài xế</t>
  </si>
  <si>
    <t>Tài xế văn phòng</t>
  </si>
  <si>
    <t>12/12</t>
  </si>
  <si>
    <t>Thanhlong111@icloud.com</t>
  </si>
  <si>
    <t>01/HĐLĐ/2013/TP</t>
  </si>
  <si>
    <t>Đồng Văn Thạch</t>
  </si>
  <si>
    <t>072074011985</t>
  </si>
  <si>
    <t>Trường Phương, Trường Tây, Hoa Thành, Tây Ninh</t>
  </si>
  <si>
    <t>1/21H đường 53</t>
  </si>
  <si>
    <t>Phương Hiệp Bình Chánh</t>
  </si>
  <si>
    <t>0988142133</t>
  </si>
  <si>
    <t>Phạm Thị Mỹ Dung</t>
  </si>
  <si>
    <t>0904896619</t>
  </si>
  <si>
    <t>0205357705</t>
  </si>
  <si>
    <t>5/12</t>
  </si>
  <si>
    <t>dongvanthach010174@gmail.com</t>
  </si>
  <si>
    <t>25/HĐLĐ/2019/TP</t>
  </si>
  <si>
    <t>Trần Văn Khình</t>
  </si>
  <si>
    <t>089084018012</t>
  </si>
  <si>
    <t>Tổ 9, Ấp 2 Vĩnh Xương, thị xã Tân Châu, An Giang</t>
  </si>
  <si>
    <t>0925578743</t>
  </si>
  <si>
    <t>Nguyễn Thị Phương</t>
  </si>
  <si>
    <t>0394716626</t>
  </si>
  <si>
    <t>8922834930</t>
  </si>
  <si>
    <t>Bảo vệ</t>
  </si>
  <si>
    <t>không có</t>
  </si>
  <si>
    <t>03/HĐLĐ/2022/TP</t>
  </si>
  <si>
    <t>Võ Thị Muội</t>
  </si>
  <si>
    <t>087178001172</t>
  </si>
  <si>
    <t>02/04/2021</t>
  </si>
  <si>
    <t>Tổ 15, Ấp Trà Đư, Thường Lạc, Hồng Ngự, Đồng Tháp</t>
  </si>
  <si>
    <t>0907377749</t>
  </si>
  <si>
    <t>7910430254</t>
  </si>
  <si>
    <t>Kế toán</t>
  </si>
  <si>
    <t>Nhân viên kế toán</t>
  </si>
  <si>
    <t>Kế Toán - Tài chính</t>
  </si>
  <si>
    <t>Phạm Thị Phương Thảo</t>
  </si>
  <si>
    <t>Đại học</t>
  </si>
  <si>
    <t>01/HĐLĐ/2010/TP</t>
  </si>
  <si>
    <t>Đặng Hà Đoan Dung</t>
  </si>
  <si>
    <t>056185003113</t>
  </si>
  <si>
    <t>20/12/2021</t>
  </si>
  <si>
    <t>58/17 E, Trương Văn Thành, P. Hiệp Phú. Q.9</t>
  </si>
  <si>
    <t>3/58F, Đường 182</t>
  </si>
  <si>
    <t xml:space="preserve">Phường Tăng Nhơn Phú A </t>
  </si>
  <si>
    <t>0933864646</t>
  </si>
  <si>
    <t>Đặng Đức Cường</t>
  </si>
  <si>
    <t>0973126162</t>
  </si>
  <si>
    <t>7909247191</t>
  </si>
  <si>
    <t>Cử nhân tài chính ngân hàng</t>
  </si>
  <si>
    <t xml:space="preserve">dh_doandung@yahoo.com </t>
  </si>
  <si>
    <t>02/HĐLĐ/2016/TP</t>
  </si>
  <si>
    <t>Huỳnh Thị Nhiên</t>
  </si>
  <si>
    <t>083183019670</t>
  </si>
  <si>
    <t>51 Đường 6, P An Khánh, TP Thủ Đức, HCM</t>
  </si>
  <si>
    <t>51 Đường 6</t>
  </si>
  <si>
    <t>P An Khánh</t>
  </si>
  <si>
    <t>0907275123</t>
  </si>
  <si>
    <t>Ngô Phú Diễn</t>
  </si>
  <si>
    <t>Chồng</t>
  </si>
  <si>
    <t>0909994134</t>
  </si>
  <si>
    <t>0206001901</t>
  </si>
  <si>
    <t>Cử nhân ngành kế toán</t>
  </si>
  <si>
    <t>huynhnhienbt@gmail.com</t>
  </si>
  <si>
    <t>02/HĐLĐ/2020/PĐ</t>
  </si>
  <si>
    <t>Nguyễn Thành Trung</t>
  </si>
  <si>
    <t>049083000048</t>
  </si>
  <si>
    <t>137 Nguyễn Xí, Phường 26, Bình Thạnh, TP. HCM</t>
  </si>
  <si>
    <t>520/111/3 Quốc lộ 13; Khu phố 6</t>
  </si>
  <si>
    <t>Hiệp Bình Phước</t>
  </si>
  <si>
    <t>0909711588</t>
  </si>
  <si>
    <t>Phạm Thị Hà Nguyên</t>
  </si>
  <si>
    <t>0908732975</t>
  </si>
  <si>
    <t>0206313215</t>
  </si>
  <si>
    <t>Kỹ sư xây dựng cầu đường bộ</t>
  </si>
  <si>
    <t>Phó Giám đốc thi công</t>
  </si>
  <si>
    <t>Kỹ thuật - Thi công</t>
  </si>
  <si>
    <t>Kỹ sư xây dựng Cầu Đường Bộ</t>
  </si>
  <si>
    <t>thanhtrung_625@yahoo.com.vn</t>
  </si>
  <si>
    <t>10/HĐLĐ/2019/TP</t>
  </si>
  <si>
    <t>Nguyễn Thành Nhân</t>
  </si>
  <si>
    <t>058092008735</t>
  </si>
  <si>
    <t>16/01/2022</t>
  </si>
  <si>
    <t>KP5, P. Phủ Hà, Phan Rang-Tháp Chàm, Ninh Thuận</t>
  </si>
  <si>
    <t>91/43 Nguyên Hồng</t>
  </si>
  <si>
    <t>Phường 1</t>
  </si>
  <si>
    <t>0796695039</t>
  </si>
  <si>
    <t>Nguyễn Thị Ánh Tuyết</t>
  </si>
  <si>
    <t>Vơ</t>
  </si>
  <si>
    <t>0909258751</t>
  </si>
  <si>
    <t>7916037564</t>
  </si>
  <si>
    <t>Trưởng bộ phận QA/ QC/ QS</t>
  </si>
  <si>
    <t>ksnhan.ou@gmail.com</t>
  </si>
  <si>
    <t>03/HĐLĐ/2016/TP</t>
  </si>
  <si>
    <t>Phan Vũ Thịnh</t>
  </si>
  <si>
    <t>086088011754</t>
  </si>
  <si>
    <t>15A/1 Khóm 2 thị trấn Long Hồ, huyện Long Hồ, tỉnh Vĩnh Long</t>
  </si>
  <si>
    <t>232/1/32 Bình Lợi</t>
  </si>
  <si>
    <t>Phường 13</t>
  </si>
  <si>
    <t>0914549944</t>
  </si>
  <si>
    <t>Lê Quốc Chánh</t>
  </si>
  <si>
    <t>Anh</t>
  </si>
  <si>
    <t>0988322584</t>
  </si>
  <si>
    <t>7913036175</t>
  </si>
  <si>
    <t>Cán bộ QA/ QC/ QS</t>
  </si>
  <si>
    <t>Phạm Hồng Nhiên</t>
  </si>
  <si>
    <t>vuthinh2019@gmail.com</t>
  </si>
  <si>
    <t>01/HĐLĐ/2020/TP</t>
  </si>
  <si>
    <t>Lê Minh Hoàng</t>
  </si>
  <si>
    <t>052088009432</t>
  </si>
  <si>
    <t>13/01/2022</t>
  </si>
  <si>
    <t>Kỳ Sơn-Phước Sơn-Tuy Phước-Bình Định</t>
  </si>
  <si>
    <t>323/20D-Đường Tỉnh lộ 15-Ấp Phú An</t>
  </si>
  <si>
    <t>Phú Hòa Đông</t>
  </si>
  <si>
    <t>Củ Chi</t>
  </si>
  <si>
    <t>0982543268, 0932415363</t>
  </si>
  <si>
    <t>Lê Minh Vũ</t>
  </si>
  <si>
    <t>Người nhà</t>
  </si>
  <si>
    <t>0935841468</t>
  </si>
  <si>
    <t>5221303235</t>
  </si>
  <si>
    <t>Kỹ sư xây dựng cầu đường</t>
  </si>
  <si>
    <t>Cán bộ kỹ thuật</t>
  </si>
  <si>
    <t>Nguyễn Thành Trung (0909711588, 0901394013)</t>
  </si>
  <si>
    <t>leminhps@gmail.com</t>
  </si>
  <si>
    <t>01/HĐLĐ/2021/TP</t>
  </si>
  <si>
    <t>Huỳnh Ngọc Hùng</t>
  </si>
  <si>
    <t>086088002381</t>
  </si>
  <si>
    <t>Ấp Tường Nhơn, xã Tường Lộc, Tam Bình, Vĩnh Long</t>
  </si>
  <si>
    <t>22/6 Tân Thuận Tây</t>
  </si>
  <si>
    <t xml:space="preserve">Tân Thuận Tây </t>
  </si>
  <si>
    <t>0916026056</t>
  </si>
  <si>
    <t>Đặng Thị My</t>
  </si>
  <si>
    <t>0365146510</t>
  </si>
  <si>
    <t>7413215969</t>
  </si>
  <si>
    <t>Điện công nghiệp và dân dụng</t>
  </si>
  <si>
    <t>Cán bộ kỹ thuật M&amp;E</t>
  </si>
  <si>
    <t>Nguyễn Ngọc Phi Hổ</t>
  </si>
  <si>
    <t>Cao Đẳng điện công nghiệp và dân dụng</t>
  </si>
  <si>
    <t>huynhngochung1501@gmail.com</t>
  </si>
  <si>
    <t>08/HĐLĐ/2020/TP</t>
  </si>
  <si>
    <t>Nguyễn Văn Trường</t>
  </si>
  <si>
    <t>038091013623</t>
  </si>
  <si>
    <t>361/70/89a ấp 6 , Đông Thạnh, Hóc Môn, Hcm</t>
  </si>
  <si>
    <t>Tổ 49, ấp Thới Tứ</t>
  </si>
  <si>
    <t>Thới Tam Thôn</t>
  </si>
  <si>
    <t>Hóc Môn</t>
  </si>
  <si>
    <t>0919193368</t>
  </si>
  <si>
    <t>Trần Thu Thủy</t>
  </si>
  <si>
    <t>0932775188</t>
  </si>
  <si>
    <t>7915035064</t>
  </si>
  <si>
    <t>Kỹ sư kinh tế xây dựng</t>
  </si>
  <si>
    <t>Cán bộ kĩ thuật nhôm kính</t>
  </si>
  <si>
    <t>Kỹ sư</t>
  </si>
  <si>
    <t>Truongnvktxd@gmail.com</t>
  </si>
  <si>
    <t>17/HĐLĐ/2020/TP</t>
  </si>
  <si>
    <t>056080003320</t>
  </si>
  <si>
    <t>24/06/2022</t>
  </si>
  <si>
    <t>63/1 Xóm Cồn, phường Xương Huân, Tp Nha Trang, tỉnh Khánh Hòa</t>
  </si>
  <si>
    <t>361/14/23C Bình Đông</t>
  </si>
  <si>
    <t>Phường 15</t>
  </si>
  <si>
    <t>Quận 8</t>
  </si>
  <si>
    <t>0905202687</t>
  </si>
  <si>
    <t>Quách Tố Thanh</t>
  </si>
  <si>
    <t>0909448038</t>
  </si>
  <si>
    <t>7908055913</t>
  </si>
  <si>
    <t>Kỹ sư điện</t>
  </si>
  <si>
    <t>Trưởng bộ phận M&amp;E</t>
  </si>
  <si>
    <t xml:space="preserve">honguyen260380@gmail.com </t>
  </si>
  <si>
    <t>02/HĐLĐ/2017/TP</t>
  </si>
  <si>
    <t>Nguyễn Quốc Trị</t>
  </si>
  <si>
    <t>052081010885</t>
  </si>
  <si>
    <t>19/02/2022</t>
  </si>
  <si>
    <t>Phước Hưng, Tuy Phước, Bình Định</t>
  </si>
  <si>
    <t>269b Nguyễn Thái Học</t>
  </si>
  <si>
    <t>Phường Mỹ Hòa</t>
  </si>
  <si>
    <t>Tp. Long xuyên</t>
  </si>
  <si>
    <t>Tỉnh An Giang</t>
  </si>
  <si>
    <t>0933887426</t>
  </si>
  <si>
    <t>Nguyển Thị Thu Thủy</t>
  </si>
  <si>
    <t>Mẹ</t>
  </si>
  <si>
    <t>0966483549</t>
  </si>
  <si>
    <t>5221269029</t>
  </si>
  <si>
    <t>Xây dựng</t>
  </si>
  <si>
    <t>Âu Văn Vũ</t>
  </si>
  <si>
    <t>Trung cấp xây dựng</t>
  </si>
  <si>
    <t>Quoctrixdtd@gmail.com</t>
  </si>
  <si>
    <t>20/HĐLĐ/2020/TP</t>
  </si>
  <si>
    <t>Phạm Văn Vũ</t>
  </si>
  <si>
    <t>051088011516</t>
  </si>
  <si>
    <t>26/12/2021</t>
  </si>
  <si>
    <t>H323, ấp Phú An</t>
  </si>
  <si>
    <t>0906921923</t>
  </si>
  <si>
    <t>Trương Thị Mỹ Dung</t>
  </si>
  <si>
    <t>0938432766</t>
  </si>
  <si>
    <t>9213007043</t>
  </si>
  <si>
    <t>Kỹ sư cầu đường</t>
  </si>
  <si>
    <t>vuphamgtvt@gmail.com</t>
  </si>
  <si>
    <t>21/HĐLĐ/2020/TP</t>
  </si>
  <si>
    <t>Phan Phú Trường</t>
  </si>
  <si>
    <t>086069008859</t>
  </si>
  <si>
    <t>30/06/2022</t>
  </si>
  <si>
    <t>Ấp 8-Mỹ Lộc-Tam Bình-Vĩnh Long</t>
  </si>
  <si>
    <t>323/20D-Đường Tỉnh Lộ 15-Ấp Phú An</t>
  </si>
  <si>
    <t>0933170366</t>
  </si>
  <si>
    <t>Luyến</t>
  </si>
  <si>
    <t>0965325539</t>
  </si>
  <si>
    <t>8622459133</t>
  </si>
  <si>
    <t>Vật tư - Thiết bị</t>
  </si>
  <si>
    <t>Dương Thái Luyến</t>
  </si>
  <si>
    <t>Bằng lái cẩu tháp</t>
  </si>
  <si>
    <t>Không</t>
  </si>
  <si>
    <t>05/HĐLĐ/2022/TP</t>
  </si>
  <si>
    <t>Nguyễn Văn Pha</t>
  </si>
  <si>
    <t>086080012613</t>
  </si>
  <si>
    <t>25/02/2022</t>
  </si>
  <si>
    <t>Phú Sơn C-Long Phú-Tam Bình-Vĩnh Long</t>
  </si>
  <si>
    <t>0899675705</t>
  </si>
  <si>
    <t>8621765075</t>
  </si>
  <si>
    <t>04/HĐLĐ/2022/TP</t>
  </si>
  <si>
    <t>Dương Huỳnh Tâm Quyên</t>
  </si>
  <si>
    <t>094185007086</t>
  </si>
  <si>
    <t>12/08/2021</t>
  </si>
  <si>
    <t>Tổ 16, KP2, Phú Bình, TP. Long Khánh, Đồng Nai</t>
  </si>
  <si>
    <t>294 Bình Lợi</t>
  </si>
  <si>
    <t>P 13</t>
  </si>
  <si>
    <t>0909063985</t>
  </si>
  <si>
    <t>0937204379</t>
  </si>
  <si>
    <t>0205260269</t>
  </si>
  <si>
    <t>Nhân viên vật tư</t>
  </si>
  <si>
    <t>Cao đẳng sư phạm</t>
  </si>
  <si>
    <t>tamquyen1985@gmail.com</t>
  </si>
  <si>
    <t>T10/2022</t>
  </si>
  <si>
    <t>03/HĐLĐ/2020/PĐ</t>
  </si>
  <si>
    <t>091088013166</t>
  </si>
  <si>
    <t>ấp Vĩnh Phong, Vĩnh Tuy, Gò Quao, Kiên Giang</t>
  </si>
  <si>
    <t>0914725539</t>
  </si>
  <si>
    <t>Nguyễn Trường An</t>
  </si>
  <si>
    <t>0949320714</t>
  </si>
  <si>
    <t>7916264390</t>
  </si>
  <si>
    <t>Nhân viên thiết bị</t>
  </si>
  <si>
    <t>luyenduongxd1210@gmail.com</t>
  </si>
  <si>
    <t>20/HĐLĐ/2016/TP</t>
  </si>
  <si>
    <t>Nguyễn Hoa Linh</t>
  </si>
  <si>
    <t>080190014391</t>
  </si>
  <si>
    <t>04/02/2022</t>
  </si>
  <si>
    <t>Ấp An Thuỷ, An Ninh Tây, Đức Hoà, Long An</t>
  </si>
  <si>
    <t>177/1 Duyên Hải, Kp Hưng Thạnh</t>
  </si>
  <si>
    <t>Tt cần Thạnh</t>
  </si>
  <si>
    <t xml:space="preserve">Cần Giờ </t>
  </si>
  <si>
    <t>0909135746</t>
  </si>
  <si>
    <t>0909809004</t>
  </si>
  <si>
    <t>8214014160</t>
  </si>
  <si>
    <t xml:space="preserve">Đại học </t>
  </si>
  <si>
    <t>Nguyenhoalinh90@gmail.com</t>
  </si>
  <si>
    <t>04/HĐLĐ/2016/TP</t>
  </si>
  <si>
    <t>Lê Văn Minh</t>
  </si>
  <si>
    <t>066087010371</t>
  </si>
  <si>
    <t>Thôn 1, xã Ealai, M'Đrắk, Đắk lắk</t>
  </si>
  <si>
    <t>Số 4, Đường 34</t>
  </si>
  <si>
    <t>Linh Đông</t>
  </si>
  <si>
    <t>0973838103</t>
  </si>
  <si>
    <t>Nguyễn Thị Hằng</t>
  </si>
  <si>
    <t>0393944114</t>
  </si>
  <si>
    <t>7914154607</t>
  </si>
  <si>
    <t>Nhân viên Kế hoạch - Đấu thầu</t>
  </si>
  <si>
    <t>Kế hoạch - Đấu thầu</t>
  </si>
  <si>
    <t>Phạm Ngọc Hưng</t>
  </si>
  <si>
    <t>vanminh20123@gmail.com</t>
  </si>
  <si>
    <t>14/HĐLĐ/2019/TP</t>
  </si>
  <si>
    <t>Đoàn Thị Kim Tuyền</t>
  </si>
  <si>
    <t>087187001621</t>
  </si>
  <si>
    <t>Ấp 6, Xã Thường Lạc, Huyện hồng Ngự, Tỉnh Đồng Tháp</t>
  </si>
  <si>
    <t xml:space="preserve">H323/20D Tỉnh Lộ 15, Ấp Phú An </t>
  </si>
  <si>
    <t>Xã Phú Hòa Đông</t>
  </si>
  <si>
    <t>Huyện Củ Chi</t>
  </si>
  <si>
    <t xml:space="preserve">Thành Phố Hồ Chí Minh </t>
  </si>
  <si>
    <t>0334273918 - 0815833152</t>
  </si>
  <si>
    <t>Đặng Thanh Bình</t>
  </si>
  <si>
    <t>0396296809</t>
  </si>
  <si>
    <t>Thủ kho</t>
  </si>
  <si>
    <t>doanthikimtuyen6563@gmail.com</t>
  </si>
  <si>
    <t>T04/2020</t>
  </si>
  <si>
    <t>Nguyễn Thanh Nam</t>
  </si>
  <si>
    <t>089095019349</t>
  </si>
  <si>
    <t>27/02/2022</t>
  </si>
  <si>
    <t>Vĩnh Bường, Vĩnh Hòa, Tân Châu, An Giang</t>
  </si>
  <si>
    <t>Cục thuế tỉnh An Giang, Nguyễn Thái Học</t>
  </si>
  <si>
    <t>phường Mỹ Hòa</t>
  </si>
  <si>
    <t>Tp. Long Xuyên</t>
  </si>
  <si>
    <t>0919195091</t>
  </si>
  <si>
    <t>0947484993</t>
  </si>
  <si>
    <t>8925158542</t>
  </si>
  <si>
    <t>Chỉ huy trưởng</t>
  </si>
  <si>
    <t>thanhnamnguyen1701@gmail.com</t>
  </si>
  <si>
    <t>Giảm BHXH từ tháng 01/2024 để nhận BH 1 lần</t>
  </si>
  <si>
    <t>Huỳnh Long Hồ</t>
  </si>
  <si>
    <t>087090017813</t>
  </si>
  <si>
    <t>Khóm Trung 2, TT. Thường Thới Tiền, Hồng Ngự, Đồng Tháp</t>
  </si>
  <si>
    <t>Ấp Bình Lợi</t>
  </si>
  <si>
    <t>Xã Bình Khánh</t>
  </si>
  <si>
    <t>Cần Giờ</t>
  </si>
  <si>
    <t>0916414494</t>
  </si>
  <si>
    <t>Lê Thị Kiều Oanh</t>
  </si>
  <si>
    <t>0942030339</t>
  </si>
  <si>
    <t>7916455166</t>
  </si>
  <si>
    <t>Huynhhodt66@gamil.com</t>
  </si>
  <si>
    <t>01/HĐLĐ/2017/TP</t>
  </si>
  <si>
    <t>Hoàng Tăng Bảo Chánh</t>
  </si>
  <si>
    <t>074071009564</t>
  </si>
  <si>
    <t>23/09/2022</t>
  </si>
  <si>
    <t>Tổ 3 Ấp 1, Hưng Hòa, Bàu Bàng, Bình Dương</t>
  </si>
  <si>
    <t>189 Ấp 1</t>
  </si>
  <si>
    <t>Xã Hưng Hòa</t>
  </si>
  <si>
    <t>Bầu Bàng</t>
  </si>
  <si>
    <t>Bình Dương</t>
  </si>
  <si>
    <t>0918479120</t>
  </si>
  <si>
    <t>0388650778</t>
  </si>
  <si>
    <t>0205157361</t>
  </si>
  <si>
    <t xml:space="preserve">Nguyễn Hiếu Thiện </t>
  </si>
  <si>
    <t xml:space="preserve">hoangtangbaochanh123@gmail.com </t>
  </si>
  <si>
    <t>04/HĐLĐ/2018/TP</t>
  </si>
  <si>
    <t>087089007221</t>
  </si>
  <si>
    <t>19/01/2022</t>
  </si>
  <si>
    <t>B5/15, Ấp An Lợi B, Định yên, Lấp vò, Đồng Tháp</t>
  </si>
  <si>
    <t>Định Yên</t>
  </si>
  <si>
    <t>Lấp Vò</t>
  </si>
  <si>
    <t>Đồng Tháp</t>
  </si>
  <si>
    <t>0938678929</t>
  </si>
  <si>
    <t>0919562199</t>
  </si>
  <si>
    <t>7914162911</t>
  </si>
  <si>
    <t xml:space="preserve">auvanvu1501@gmail.com </t>
  </si>
  <si>
    <t>11/HĐLĐ/2019/TP</t>
  </si>
  <si>
    <t>Nguyễn Văn Trân</t>
  </si>
  <si>
    <t>080050000916</t>
  </si>
  <si>
    <t>20/04/2021</t>
  </si>
  <si>
    <t>Ấp Trần Hưng Đạo, Xã Tam Thôn Hiệp, Huyện Cần Giờ, Tp. HCM</t>
  </si>
  <si>
    <t>Ấp bình lợi</t>
  </si>
  <si>
    <t>Xã bình khánh</t>
  </si>
  <si>
    <t>0363213558</t>
  </si>
  <si>
    <t>Tô Thị Dẹp</t>
  </si>
  <si>
    <t>0349738816</t>
  </si>
  <si>
    <t>0</t>
  </si>
  <si>
    <t>không</t>
  </si>
  <si>
    <t>Không đóng BHXH</t>
  </si>
  <si>
    <t>Huỳnh Minh Nghị</t>
  </si>
  <si>
    <t>089088007677</t>
  </si>
  <si>
    <t>13/08/2021</t>
  </si>
  <si>
    <t>Ấp vĩnh Bình,vĩnh Thạnh Trung,Châu Phú,An Giang</t>
  </si>
  <si>
    <t>1/219 kp Hòa Lân 2</t>
  </si>
  <si>
    <t>Thuận Giao</t>
  </si>
  <si>
    <t>Thuận An</t>
  </si>
  <si>
    <t>0937330927</t>
  </si>
  <si>
    <t>Đặng Thị Hồng Lê</t>
  </si>
  <si>
    <t>0937358737</t>
  </si>
  <si>
    <t>8923267816</t>
  </si>
  <si>
    <t>Điện</t>
  </si>
  <si>
    <t>K có</t>
  </si>
  <si>
    <t>minhnghichaudoc@gmail.com</t>
  </si>
  <si>
    <t>03/HĐLĐ/2021/TP</t>
  </si>
  <si>
    <t>Phạm Văn Phụng</t>
  </si>
  <si>
    <t>087075007392</t>
  </si>
  <si>
    <t>Xã Thường Lạc, Hồng Ngự, Đồng Tháp</t>
  </si>
  <si>
    <t>293B</t>
  </si>
  <si>
    <t>Mỹ Hòa</t>
  </si>
  <si>
    <t>0339333710</t>
  </si>
  <si>
    <t>Lê Quốc Dũng</t>
  </si>
  <si>
    <t>079078017071</t>
  </si>
  <si>
    <t>19/04/2021</t>
  </si>
  <si>
    <t>18/10 Trần Văn Thành, Phường 8, Quận 8</t>
  </si>
  <si>
    <t>551/333 Lê Văn Khương</t>
  </si>
  <si>
    <t>Phường thế an</t>
  </si>
  <si>
    <t>Quận12</t>
  </si>
  <si>
    <t>TP HCM</t>
  </si>
  <si>
    <t>0934343293</t>
  </si>
  <si>
    <t>Lê Ngọc Sơn</t>
  </si>
  <si>
    <t>Em</t>
  </si>
  <si>
    <t>0978611151</t>
  </si>
  <si>
    <t>0204344328</t>
  </si>
  <si>
    <t>Võ Thành Vương</t>
  </si>
  <si>
    <t>lequocdungq@gmail.com</t>
  </si>
  <si>
    <t>03/01/2022</t>
  </si>
  <si>
    <t>01/HĐLĐ/2022/TP</t>
  </si>
  <si>
    <t>Nguyễn Duy Hải</t>
  </si>
  <si>
    <t>082092015182</t>
  </si>
  <si>
    <t>C9bis, KP 1, Đông Hưng Thuận, Quận 12, Hồ Chí Minh</t>
  </si>
  <si>
    <t>0984071062</t>
  </si>
  <si>
    <t>Vi</t>
  </si>
  <si>
    <t>097 2801506</t>
  </si>
  <si>
    <t>7916077355</t>
  </si>
  <si>
    <t>duyhai23011992@gmail.com</t>
  </si>
  <si>
    <t>02/HĐLĐ/2022/TP</t>
  </si>
  <si>
    <t>Nguyễn Một Tê</t>
  </si>
  <si>
    <t>086059004399</t>
  </si>
  <si>
    <t>Ấp Tường Trí, Nhơn Bình, Trà Ôn, Vĩnh Long</t>
  </si>
  <si>
    <t>0364177295</t>
  </si>
  <si>
    <t>Ngô Điền Trung</t>
  </si>
  <si>
    <t>082096009345</t>
  </si>
  <si>
    <t>29/06/2021</t>
  </si>
  <si>
    <t>Hưng Hòa, Long Hưng, Gò Công, tỉnh Tiền Giang</t>
  </si>
  <si>
    <t>Đường số 57</t>
  </si>
  <si>
    <t>Phường 14</t>
  </si>
  <si>
    <t>0966591406</t>
  </si>
  <si>
    <t>Ngô Thị Bích Thuận</t>
  </si>
  <si>
    <t>Chị</t>
  </si>
  <si>
    <t>0375551452</t>
  </si>
  <si>
    <t>Kỹ sư xây dựng công trình giao thông</t>
  </si>
  <si>
    <t>trungngo210296@gmail.com</t>
  </si>
  <si>
    <t>08/HĐLĐ/2022/TP</t>
  </si>
  <si>
    <t>Lê Văn Thịnh</t>
  </si>
  <si>
    <t>051091002104</t>
  </si>
  <si>
    <t>22/04/2021</t>
  </si>
  <si>
    <t>TDP1, Nguyễn Nghiêm, tx Đức Phổ, Quảng Ngãi</t>
  </si>
  <si>
    <t>Ấp Mỹ Huề</t>
  </si>
  <si>
    <t>Trung chánh</t>
  </si>
  <si>
    <t>HCM</t>
  </si>
  <si>
    <t>0909576598</t>
  </si>
  <si>
    <t>Lê Văn Vương</t>
  </si>
  <si>
    <t>0903155249</t>
  </si>
  <si>
    <t>Vanthinh33d6@gmail.com</t>
  </si>
  <si>
    <t>23/07/2022</t>
  </si>
  <si>
    <t>09/HĐLĐ/2022/TP</t>
  </si>
  <si>
    <t>Nguyễn Ngọc Quý</t>
  </si>
  <si>
    <t>074093000539</t>
  </si>
  <si>
    <t>07/04/2021</t>
  </si>
  <si>
    <t>Ấp Xóm Lẫm, xã Thanh Tuyền, huyện Dầu Tiếng, tỉnh Bình Dương</t>
  </si>
  <si>
    <t>Ấp Xóm Lẫm</t>
  </si>
  <si>
    <t>Xã Thanh Tuyền</t>
  </si>
  <si>
    <t>Huyện Dầu Tiếng</t>
  </si>
  <si>
    <t>Tỉnh Bình Dương</t>
  </si>
  <si>
    <t>0877603149</t>
  </si>
  <si>
    <t>Nguyễn Thị Ánh Ngọc</t>
  </si>
  <si>
    <t>Chị gái</t>
  </si>
  <si>
    <t>0373528928</t>
  </si>
  <si>
    <t>Kỹ thuật trắc địa</t>
  </si>
  <si>
    <t>nguyenngocquy.ngngq@gmail.com</t>
  </si>
  <si>
    <t>24/07/2022</t>
  </si>
  <si>
    <t>10/HĐLĐ/2022/TP</t>
  </si>
  <si>
    <t>Lê Trọng Nghĩa</t>
  </si>
  <si>
    <t>082094002987</t>
  </si>
  <si>
    <t>Ấp Thanh Nhung 2, Phước Trung, Gò Công Đông, Tiền Giang</t>
  </si>
  <si>
    <t>0783625684</t>
  </si>
  <si>
    <t>13/HĐLĐ/2022/TP</t>
  </si>
  <si>
    <t>Lưu Văn Lưỡng</t>
  </si>
  <si>
    <t>086058000949</t>
  </si>
  <si>
    <t>Ấp Hồi Trinh, Xuân Hiệp, Trà Ôn, Vĩnh Long</t>
  </si>
  <si>
    <t>220/91 Lê Văn Sỹ</t>
  </si>
  <si>
    <t>0989668434</t>
  </si>
  <si>
    <t>0342397660</t>
  </si>
  <si>
    <t>11/HĐLĐ/2022/TP</t>
  </si>
  <si>
    <t>Lý Hoàng Duyên</t>
  </si>
  <si>
    <t>086087006491</t>
  </si>
  <si>
    <t>Ấp Tường Ngãi Nhơn Bình, Trà Ôn, Vĩnh Long</t>
  </si>
  <si>
    <t>49 Nguyễn Thị Tín</t>
  </si>
  <si>
    <t>Bùi Hữu Nghĩa</t>
  </si>
  <si>
    <t>Bình Thủy</t>
  </si>
  <si>
    <t>Cần Thơ</t>
  </si>
  <si>
    <t>0939654446</t>
  </si>
  <si>
    <t>Lý Hoàng Chiểu</t>
  </si>
  <si>
    <t>0904786839</t>
  </si>
  <si>
    <t>hoangduyen22718@gmail.com</t>
  </si>
  <si>
    <t>01/HĐLĐ/2023/TP</t>
  </si>
  <si>
    <t>Nguyễn Tuấn Anh</t>
  </si>
  <si>
    <t>079071009710</t>
  </si>
  <si>
    <t>Tân Long, Châu Pha, Thị xã Phú Mỹ, Bà Rịa Vũng Tàu</t>
  </si>
  <si>
    <t>0786661971</t>
  </si>
  <si>
    <t>Tran Thi My Hanh</t>
  </si>
  <si>
    <t>0931116752</t>
  </si>
  <si>
    <t>nguyentuananh471@gmail.com</t>
  </si>
  <si>
    <t>08/HĐLĐ/2023/TP</t>
  </si>
  <si>
    <t>Nguyễn Văn Phòng</t>
  </si>
  <si>
    <t>091094013770</t>
  </si>
  <si>
    <t xml:space="preserve">49 Lê Thị Tính </t>
  </si>
  <si>
    <t>Ninh Kiều</t>
  </si>
  <si>
    <t>0919809552</t>
  </si>
  <si>
    <t>0913183816</t>
  </si>
  <si>
    <t>phongnguyen291994@gmail.com</t>
  </si>
  <si>
    <t>09/HĐLĐ/2023/TP</t>
  </si>
  <si>
    <t>Thiềm Thanh Bình</t>
  </si>
  <si>
    <t>086079014167</t>
  </si>
  <si>
    <t>Ktx</t>
  </si>
  <si>
    <t>0907479742</t>
  </si>
  <si>
    <t>Công nghệ thông tin</t>
  </si>
  <si>
    <t>Cao đẳng</t>
  </si>
  <si>
    <t>thanhbinhtp2023@gmail.com</t>
  </si>
  <si>
    <t>Đặng Hoàng Nhựt Thắng</t>
  </si>
  <si>
    <t>096097002620</t>
  </si>
  <si>
    <t>ấp 6, xã Tân Thành, Tp Cà Mau, Tỉnh Cà Mau</t>
  </si>
  <si>
    <t>27 đường số 3A, KDC 6B Intresco</t>
  </si>
  <si>
    <t>Bình Hưng</t>
  </si>
  <si>
    <t>Bình Chánh</t>
  </si>
  <si>
    <t>Tp HCM</t>
  </si>
  <si>
    <t>0946577710</t>
  </si>
  <si>
    <t>Lê Thị Hoàng Kim</t>
  </si>
  <si>
    <t>0768497424</t>
  </si>
  <si>
    <t>Mr Trường</t>
  </si>
  <si>
    <t>dangthangxd97@gmail.com</t>
  </si>
  <si>
    <t>12/HĐLĐ/2023/TP</t>
  </si>
  <si>
    <t>052088013071</t>
  </si>
  <si>
    <t>Thôn Tân Xuân, Cát Hanh, Phù Cát, Bình Định</t>
  </si>
  <si>
    <t>29/11A đường 48</t>
  </si>
  <si>
    <t>Phường Hiệp Bình Chánh</t>
  </si>
  <si>
    <t>0917254488</t>
  </si>
  <si>
    <t>Nguyễn Thị Thu Trinh</t>
  </si>
  <si>
    <t>0938466126</t>
  </si>
  <si>
    <t>7910384760</t>
  </si>
  <si>
    <t>Phó phòng Kế hoạch - Đấu thầu</t>
  </si>
  <si>
    <t>Kỹ sư xây xựng</t>
  </si>
  <si>
    <t>hungngocks2000@gmail.com</t>
  </si>
  <si>
    <t>05/HĐLĐ/2023/TP</t>
  </si>
  <si>
    <t>Lê Thế Quyền</t>
  </si>
  <si>
    <t>052093009108</t>
  </si>
  <si>
    <t>mỹ chánh tây, huyện phù mỹ , tỉnh bình định</t>
  </si>
  <si>
    <t>4678/25 Đ. Tân sơn</t>
  </si>
  <si>
    <t>Phường 12</t>
  </si>
  <si>
    <t>Quận gò vấp</t>
  </si>
  <si>
    <t>thành phố hồ chí minh</t>
  </si>
  <si>
    <t>0931895463</t>
  </si>
  <si>
    <t>Châu thị sương</t>
  </si>
  <si>
    <t>0934193863</t>
  </si>
  <si>
    <t>5220719707</t>
  </si>
  <si>
    <t>quyenlemct@gmail.com</t>
  </si>
  <si>
    <t>14/HĐLĐ/2023/TP</t>
  </si>
  <si>
    <t>Nguyễn Minh Hiếu</t>
  </si>
  <si>
    <t>052083014919</t>
  </si>
  <si>
    <t>RS7-05,02, C/c 239-241 HBình, Hiệp Tân, Tân Phú, Hồ Chí Minh</t>
  </si>
  <si>
    <t>0974001001, 0931245639</t>
  </si>
  <si>
    <t>Hieunmdtcs@gmail.com</t>
  </si>
  <si>
    <t>02/2024/HĐLĐ/TP</t>
  </si>
  <si>
    <t>Đậu Bá Linh</t>
  </si>
  <si>
    <t>060090000259</t>
  </si>
  <si>
    <t>Xóm 4, Thôn 6, Măng Tố, Tánh Linh, Bình Thuận</t>
  </si>
  <si>
    <t>557 Tô Ký</t>
  </si>
  <si>
    <t>Trung Mỹ Tây</t>
  </si>
  <si>
    <t>Quận 12</t>
  </si>
  <si>
    <t>0985855286</t>
  </si>
  <si>
    <t>Đinh Thị Hải Phượng</t>
  </si>
  <si>
    <t>0971510635</t>
  </si>
  <si>
    <t>Daubalinh@gmail.com</t>
  </si>
  <si>
    <t>19/HĐLĐ/2023/TP</t>
  </si>
  <si>
    <t>Nguyễn Văn Nuôi</t>
  </si>
  <si>
    <t>086068013459</t>
  </si>
  <si>
    <t>Ấp Hiệp Thạnh, Hòa Bình, Trà Ôn, Vĩnh Long</t>
  </si>
  <si>
    <t>0938419518</t>
  </si>
  <si>
    <t>Dương Quan Mạnh Linh</t>
  </si>
  <si>
    <t>T04/2024</t>
  </si>
  <si>
    <t>03/2024/HĐLĐ/TP</t>
  </si>
  <si>
    <t>Phan Hoàng Hận</t>
  </si>
  <si>
    <t>086084011708</t>
  </si>
  <si>
    <t>Ấp Phú Điền, Song Phú, Tam Bình, Vĩnh Long</t>
  </si>
  <si>
    <t>0398070457</t>
  </si>
  <si>
    <t>21/HĐLĐ/2023/TP</t>
  </si>
  <si>
    <t>Lê Công Bảo</t>
  </si>
  <si>
    <t>052089012078</t>
  </si>
  <si>
    <t>Tổ 38, Khu phố 9, Tân Phong, TP. Biên Hòa, Đồng Nai</t>
  </si>
  <si>
    <t>0986732108</t>
  </si>
  <si>
    <t>22/HĐLĐ/2023/TP</t>
  </si>
  <si>
    <t>Nguyễn Minh Tân</t>
  </si>
  <si>
    <t>079093020468</t>
  </si>
  <si>
    <t>237/29/48 Nguyễn Văn Đậu, Phường 11, Quận Bình Thạnh, TP.HCM</t>
  </si>
  <si>
    <t>0903765093</t>
  </si>
  <si>
    <t>Ms Xuân</t>
  </si>
  <si>
    <t>Chị Ruột</t>
  </si>
  <si>
    <t>0909431969</t>
  </si>
  <si>
    <t>7916566304</t>
  </si>
  <si>
    <t>Trưởng phòng HCNS</t>
  </si>
  <si>
    <t>timmj2010@gmail.com.vn</t>
  </si>
  <si>
    <t>T11/2024</t>
  </si>
  <si>
    <t>051187004115</t>
  </si>
  <si>
    <t>Xã Phú Thuận-Huyện Phú Vang-TT.Huế</t>
  </si>
  <si>
    <t>108/7 đường số 1, phường 16, quận Gò Vấp, Tp.HCM</t>
  </si>
  <si>
    <t>Trung cấp</t>
  </si>
  <si>
    <t>Kế toán doanh nghiệp</t>
  </si>
  <si>
    <t>T09/2024</t>
  </si>
  <si>
    <t>1091087-Ngân hàng ACB-CN Gò Vấp TP.HCM</t>
  </si>
  <si>
    <t>Tiền Vĩ Đại</t>
  </si>
  <si>
    <t>079200020116</t>
  </si>
  <si>
    <t>513/9F Gia Phú, Phường 03, Quận 06. TP.Hồ Chí Minh</t>
  </si>
  <si>
    <t>54U Cư Xá Phú Lâm D, Phường 10, Quận 06, TP.Hồ Chí Minh</t>
  </si>
  <si>
    <t>0918838631</t>
  </si>
  <si>
    <t>Nguyễn Thị Viện</t>
  </si>
  <si>
    <t>0941841121</t>
  </si>
  <si>
    <t>Kỹ Sư Xây Dựng</t>
  </si>
  <si>
    <t>tienvidai883@gmail.com</t>
  </si>
  <si>
    <t>Phạm Văn Hiếu</t>
  </si>
  <si>
    <t>038098023113</t>
  </si>
  <si>
    <t>Xuân Tín, Thọ Xuân, Thanh Hóa</t>
  </si>
  <si>
    <t>50/3, đường 138, Phường Tân Phú, Thủ Đức</t>
  </si>
  <si>
    <t xml:space="preserve"> </t>
  </si>
  <si>
    <t>0964228987</t>
  </si>
  <si>
    <t>Lê Thị Lý</t>
  </si>
  <si>
    <t>0336763121</t>
  </si>
  <si>
    <t>3821553936</t>
  </si>
  <si>
    <t>Cán bộ QA/QC cầu đường</t>
  </si>
  <si>
    <t>Chuyên ngành đường bộ</t>
  </si>
  <si>
    <t>phamvanhieu131998@gmail.com</t>
  </si>
  <si>
    <t>T10/2024</t>
  </si>
  <si>
    <t>108003511815 - Phạm Văn Hiếu - Vietin bank</t>
  </si>
  <si>
    <t>Huỳnh Thanh Long</t>
  </si>
  <si>
    <t>052202010064</t>
  </si>
  <si>
    <t>Thôn Thắng Kiên, Cát Khánh, Phù Cát, Bình Định</t>
  </si>
  <si>
    <t>76E, Đường số 36, Phường Linh Đông, Thủ Đức, TP.HCM</t>
  </si>
  <si>
    <t>0867432507</t>
  </si>
  <si>
    <t>Huỳnh Thanh Hòa</t>
  </si>
  <si>
    <t>Cha</t>
  </si>
  <si>
    <t>0394664753</t>
  </si>
  <si>
    <t>Nhân viên IT kiêm hành chính</t>
  </si>
  <si>
    <t>it.htlong25@gmail.com</t>
  </si>
  <si>
    <t>Nguyễn Trường Long</t>
  </si>
  <si>
    <t>079091038831</t>
  </si>
  <si>
    <t>60/31 Lê Văn Duyệt, phường 1, Bình Thạnh, TP. HCM</t>
  </si>
  <si>
    <t>280/70/54B Bùi Hữu Nghĩa, phường 2, Bình Thạnh, TP.HCM</t>
  </si>
  <si>
    <t>0783464677</t>
  </si>
  <si>
    <t>Trần Thị Thu Hương</t>
  </si>
  <si>
    <t>0765800699</t>
  </si>
  <si>
    <t>7937967290</t>
  </si>
  <si>
    <t>Bằng lái xe ô tô (dành cho vị trí tài xế)</t>
  </si>
  <si>
    <t>Hạng B2</t>
  </si>
  <si>
    <t>Nguyentruonglong171191@gmail.com</t>
  </si>
  <si>
    <t>1800171166 BIDV chi nhánh Kỳ Hoà</t>
  </si>
  <si>
    <t>Nguyễn Ngọc Toàn</t>
  </si>
  <si>
    <t>060089002942</t>
  </si>
  <si>
    <t>Xóm 5 Thôn 6 xã Hàm Đức Huyện Hàm Thuận Bắc Tỉnh Bình Thuận</t>
  </si>
  <si>
    <t>CC Pi City , Thạnh Xuân 13 , phường Thạnh Xuân, Quận 12, TP.HCM</t>
  </si>
  <si>
    <t>0901639671</t>
  </si>
  <si>
    <t>Nguyễn Thị Bé Sáu</t>
  </si>
  <si>
    <t>0975711927</t>
  </si>
  <si>
    <t>nguyenngoctoan.n2t@gmail.com</t>
  </si>
  <si>
    <t>BIDV 61110000671816 Nguyễn Ngọc Toàn - CN Bình Thuận</t>
  </si>
  <si>
    <t>Lê Mĩ Dung</t>
  </si>
  <si>
    <t>052091009662</t>
  </si>
  <si>
    <t>Phước Hòa, Tuy Phước, Bình Định</t>
  </si>
  <si>
    <t>32 Đường 19 phường Linh Chiểu, TP Thủ Đức</t>
  </si>
  <si>
    <t>0349681409</t>
  </si>
  <si>
    <t>Lê Xuân Nhu</t>
  </si>
  <si>
    <t>Anh Ruột</t>
  </si>
  <si>
    <t>0396592331</t>
  </si>
  <si>
    <t>Kế toán tổng hợp</t>
  </si>
  <si>
    <t>Tài chính - ngân hàng</t>
  </si>
  <si>
    <t>ledung.a9@gmail.com</t>
  </si>
  <si>
    <t>T12/2024</t>
  </si>
  <si>
    <t>Cao Thanh Long</t>
  </si>
  <si>
    <t>040075000684</t>
  </si>
  <si>
    <t>176/4/9, TX 25, KP2, Thạnh Xuân, Quận 12, Hồ Chí Minh</t>
  </si>
  <si>
    <t>462/20 Đường Lê Văn Khương P Thới An Quận 12 TPHCM</t>
  </si>
  <si>
    <t>0948262325</t>
  </si>
  <si>
    <t>Vũ Thị Diện</t>
  </si>
  <si>
    <t>0976062299</t>
  </si>
  <si>
    <t>Trưởng bộ phận thiết bị</t>
  </si>
  <si>
    <t>Cơ Khí Chế Tạo Máy</t>
  </si>
  <si>
    <t>cngiaphatxd@gmail.com</t>
  </si>
  <si>
    <t>1770148476 NH BIDV CN Nguyễn Thái Sơn</t>
  </si>
  <si>
    <t>054082000089</t>
  </si>
  <si>
    <t>47/30/10 Trường Lưu, Long Trường, TP. Thủ Đức, TP. HCM</t>
  </si>
  <si>
    <t>47/30/10 Trường Lưu, Long Trường, TP. Thủ Đức.HCM</t>
  </si>
  <si>
    <t>0916072107</t>
  </si>
  <si>
    <t>Lê Thúy Kim</t>
  </si>
  <si>
    <t>0909236170</t>
  </si>
  <si>
    <t>Kỹ Thuật Công Trình</t>
  </si>
  <si>
    <t>nhienpham82@gmail.com</t>
  </si>
  <si>
    <t>Số TK: 29495117, Ngân hàng ACB, Chi nhánh TP. HCM</t>
  </si>
  <si>
    <t>Nguyễn Minh Thọ</t>
  </si>
  <si>
    <t>079089016099</t>
  </si>
  <si>
    <t>203 Lô F cư xá Thanh Đa, phường 27 , Quận Bình Thạnh, Tp.HCM</t>
  </si>
  <si>
    <t>60E Đường 42, KP 8 , p.Hiệp Bình Chánh, Tp Thủ Đức.</t>
  </si>
  <si>
    <t>0934103489</t>
  </si>
  <si>
    <t>Nguyễn Thị Xuân Hương</t>
  </si>
  <si>
    <t>0902635621</t>
  </si>
  <si>
    <t>Kỹ sư công nghệ kỹ thuật cơ khí</t>
  </si>
  <si>
    <t>Cán bộ An toàn lao động</t>
  </si>
  <si>
    <t>Bằng kỹ sư Công Nghệ Kỹ Thuật Cơ Khí</t>
  </si>
  <si>
    <t>minhtho7989@gmail.com</t>
  </si>
  <si>
    <t>T02/2025</t>
  </si>
  <si>
    <t>MB079089016099 + MBbank</t>
  </si>
  <si>
    <t>Trần Văn Khắc</t>
  </si>
  <si>
    <t>052095004218</t>
  </si>
  <si>
    <t>608/22 An Dương Vương, P11, Q6, TP. HCM</t>
  </si>
  <si>
    <t>0965387033</t>
  </si>
  <si>
    <t>Trần Thị Ý</t>
  </si>
  <si>
    <t>0368679398</t>
  </si>
  <si>
    <t>Kỹ sư ngành kỹ thuật xây dựng công trình giao thông</t>
  </si>
  <si>
    <t>Kỹ thuật xây dựng công trình giao thông (Xây dựng cầu đường)</t>
  </si>
  <si>
    <t>tranvankhac1995@gmail.com</t>
  </si>
  <si>
    <t>18/11/0224</t>
  </si>
  <si>
    <t>100006982127 + Ngân hàng TMCP Công thương Việt Nam + Chi nhánh Phú Tài</t>
  </si>
  <si>
    <t>Lê Thị Thúy</t>
  </si>
  <si>
    <t>035185001644</t>
  </si>
  <si>
    <t>CTCCS QLHC VTTXH</t>
  </si>
  <si>
    <t>56/25 Đường 4, Khu phố 2, Phường Hiệp Bình Chánh, TP Thủ Đức, TP. HCM</t>
  </si>
  <si>
    <t>Trưởng bộ phận vật tư</t>
  </si>
  <si>
    <t>Cử nhân</t>
  </si>
  <si>
    <t>Ngưỡng đánh giá hợp đồng</t>
  </si>
  <si>
    <t>STT</t>
  </si>
  <si>
    <t>Ký HĐ &amp; đóng BHXH</t>
  </si>
  <si>
    <t>Họ và tên</t>
  </si>
  <si>
    <t>Giới</t>
  </si>
  <si>
    <t>Năm sinh</t>
  </si>
  <si>
    <t>Vị trí tuyển</t>
  </si>
  <si>
    <t>Thử việc
L1</t>
  </si>
  <si>
    <t>Thử việc
L2</t>
  </si>
  <si>
    <t>Ngày chính thức</t>
  </si>
  <si>
    <t>Lương gộp TV</t>
  </si>
  <si>
    <t>Lương gộp chính thức</t>
  </si>
  <si>
    <t>Không ký hđlđ, k đóng BH</t>
  </si>
  <si>
    <t>x</t>
  </si>
  <si>
    <t>Nhân viên HCNS</t>
  </si>
  <si>
    <t>Thủ kho kiêm bảo vệ</t>
  </si>
  <si>
    <t>Kết thúc thử việc trong 1 tháng</t>
  </si>
  <si>
    <t>Nguyễn Văn Út</t>
  </si>
  <si>
    <t>định lại mức lương sau 2 tháng thử việc</t>
  </si>
  <si>
    <t>CBKT (KS dân dụng)</t>
  </si>
  <si>
    <t>Nguyễn Văn Nga</t>
  </si>
  <si>
    <t>Thử việc đến khi có chỉ định mới từ TGĐ</t>
  </si>
  <si>
    <t>Phạm Đức Tân</t>
  </si>
  <si>
    <t>Nguyễn Văn Việt</t>
  </si>
  <si>
    <t>Kỹ sư trắc đạc</t>
  </si>
  <si>
    <t>nghỉ việc từ 20/03/2022</t>
  </si>
  <si>
    <t>Phạm Đình</t>
  </si>
  <si>
    <t>nghỉ việc từ 04/05/2022 vì mức lương bị giảm (mr. trung yêu cầu do k đáp ứng yc công việc)</t>
  </si>
  <si>
    <t>Nguyễn Hoàng Vịnh</t>
  </si>
  <si>
    <t>Chỉ huy phó</t>
  </si>
  <si>
    <t>nghỉ việc từ 21/04/2022</t>
  </si>
  <si>
    <t>Tô Văn Thành Vương</t>
  </si>
  <si>
    <t>Kỹ sư cơ điện</t>
  </si>
  <si>
    <t>Tăng BH Phú Đức</t>
  </si>
  <si>
    <t>Nguyễn Thái Trung</t>
  </si>
  <si>
    <t>nghỉ việc từ 22/4/2022</t>
  </si>
  <si>
    <t>Phạm Xuân Hòa</t>
  </si>
  <si>
    <t>nghỉ việc từ chiều 07/04/2022</t>
  </si>
  <si>
    <t>Đỗ Văn Kiên</t>
  </si>
  <si>
    <t>Nhân viên lái máy đào</t>
  </si>
  <si>
    <t>OT x1.5</t>
  </si>
  <si>
    <t>Nhữ Văn Thành</t>
  </si>
  <si>
    <t>Nghỉ từ 13/07/2022</t>
  </si>
  <si>
    <t>Nguyễn Thanh Hải</t>
  </si>
  <si>
    <t>Nhân viên lái xe tưới nước</t>
  </si>
  <si>
    <t>OT &gt;=2h phụ cấp 30.000/ ngày</t>
  </si>
  <si>
    <t>Nguyễn Văn Hiệu</t>
  </si>
  <si>
    <t>Kỹ sư QA/QC</t>
  </si>
  <si>
    <t>nghỉ từ 2/7/2022</t>
  </si>
  <si>
    <t>Lê Minh Tiến</t>
  </si>
  <si>
    <t>nghỉ từ 13/08/2022</t>
  </si>
  <si>
    <t>Đoàn Mạnh</t>
  </si>
  <si>
    <t>nghỉ từ 19/07/2022</t>
  </si>
  <si>
    <t>Phạm Quang Thái</t>
  </si>
  <si>
    <t>Trịnh Tiến Mạnh</t>
  </si>
  <si>
    <t>Võ Ngọc Tân</t>
  </si>
  <si>
    <t>Kỹ thuật hiện trường và hồ sơ</t>
  </si>
  <si>
    <t>nghỉ từ 26/09/2022</t>
  </si>
  <si>
    <t>Võ Minh Ngôn</t>
  </si>
  <si>
    <t>nghỉ từ 19/09/2022</t>
  </si>
  <si>
    <t>Đoàn Nhật Tiến</t>
  </si>
  <si>
    <t>Nghỉ từ 21/11/2022</t>
  </si>
  <si>
    <t>Nguyễn Tuấn Kiệt</t>
  </si>
  <si>
    <t>Cán bộ kỹ thuật cầu đường</t>
  </si>
  <si>
    <t>nghỉ từ 03/10/2022</t>
  </si>
  <si>
    <t>Trần Quốc Việt</t>
  </si>
  <si>
    <t>không nhận việc</t>
  </si>
  <si>
    <t>Võ Tấn Vương</t>
  </si>
  <si>
    <t>đóng BHXH từ tháng 5/2023</t>
  </si>
  <si>
    <t>Nguyễn Dũng</t>
  </si>
  <si>
    <t>Nguyễn Thị Xuân Kiều</t>
  </si>
  <si>
    <t>Kế toán trưởng</t>
  </si>
  <si>
    <t>nghỉ từ 03/07/2023</t>
  </si>
  <si>
    <t>Nguyễn Xuân Hữu</t>
  </si>
  <si>
    <t>Cán bộ an toàn lao động</t>
  </si>
  <si>
    <t>Nghỉ từ 10/06/2023</t>
  </si>
  <si>
    <t>từ chối</t>
  </si>
  <si>
    <t>Nguyễn Thị Út Em</t>
  </si>
  <si>
    <t>Nhân viên vận hành vận thăng lồng</t>
  </si>
  <si>
    <t>Hoàng Bảo Trọng</t>
  </si>
  <si>
    <t>nghỉ từ 05/08/2023</t>
  </si>
  <si>
    <t>Lý Thiên Ưng</t>
  </si>
  <si>
    <t xml:space="preserve">nghỉ từ 19/05/2023 </t>
  </si>
  <si>
    <t>đóng BHXH từ tháng 8</t>
  </si>
  <si>
    <t>T06/2024</t>
  </si>
  <si>
    <t>Nhân viên IT</t>
  </si>
  <si>
    <t>lãnh BHTN đến hết tháng 05/2023, không đóng BHXH</t>
  </si>
  <si>
    <t>Trần Minh Điểm</t>
  </si>
  <si>
    <t>Dương Quang Mạnh Linh</t>
  </si>
  <si>
    <t>Chi huy trưởng</t>
  </si>
  <si>
    <t>nghỉ từ 31/01/2024, lý do: hết việc cty cho nghỉ</t>
  </si>
  <si>
    <t>Nguyễn Công Minh</t>
  </si>
  <si>
    <t>Cán bộ nhôm kính</t>
  </si>
  <si>
    <t>Mang Thị Đức Nhơn</t>
  </si>
  <si>
    <t>Nguyễn Quí Phi</t>
  </si>
  <si>
    <t>nghỉ từ tháng 08/11/2023, lý do: không đạt yc, không đóng ý ký hđ 3 tháng giữ nguyên mức lương thử việc</t>
  </si>
  <si>
    <t>Phạm Quốc Huy</t>
  </si>
  <si>
    <t>Cán bộ kỹ thuật ME</t>
  </si>
  <si>
    <t>Phó giám đốc thi công</t>
  </si>
  <si>
    <t>Nguyễn Minh Quân</t>
  </si>
  <si>
    <t>Cán bộ kỹ thuật QS</t>
  </si>
  <si>
    <t>Nguyễn Thanh Vũ</t>
  </si>
  <si>
    <t>Nguyễn Văn Đạt</t>
  </si>
  <si>
    <t>nghỉ từ 15/10/2023, lý do: trả lương chậm và không cho ứng lương lúc thử việc</t>
  </si>
  <si>
    <t>Phan Văn Hoài Nam</t>
  </si>
  <si>
    <t>nghỉ từ tháng 11, lý do: công việc không phù hợp</t>
  </si>
  <si>
    <t>CBKT</t>
  </si>
  <si>
    <t>Lê Văn Hoa</t>
  </si>
  <si>
    <t>nghỉ từ 31/10/2023, lý do: công việc không phù hợp</t>
  </si>
  <si>
    <t>Nguyễn Thị Phi Hạc</t>
  </si>
  <si>
    <t>nghỉ từ 15/04/2023, lý do: BTGĐ cho nghỉ</t>
  </si>
  <si>
    <t>ký hđ và đóng BHXH từ tháng 12/2023 Phú Đức</t>
  </si>
  <si>
    <t>T08/2024</t>
  </si>
  <si>
    <t>Nguyễn Văn Huỳnh Em</t>
  </si>
  <si>
    <t>Nguyễn Văn Danh</t>
  </si>
  <si>
    <t>nghỉ từ 07/01/2024</t>
  </si>
  <si>
    <t>Trần Trọng Hiếu</t>
  </si>
  <si>
    <t>nghỉ từ 27/12/2023</t>
  </si>
  <si>
    <t>Lê Quang Lộc</t>
  </si>
  <si>
    <t>Nghỉ từ 16/11/2023, lý do: công việc không phù hợp</t>
  </si>
  <si>
    <t>Nguyễn Trọng Hiếu</t>
  </si>
  <si>
    <t>Nghỉ từ 13/08/2024, xin nghỉ do bị giam bằng 2 tháng</t>
  </si>
  <si>
    <t>cắt BHXH từ tháng 07/2024 để hưởng BHTN</t>
  </si>
  <si>
    <t>Hoàng Minh Toàn</t>
  </si>
  <si>
    <t>Trưởng phòng KH-ĐT</t>
  </si>
  <si>
    <t>nghỉ từ 17/09/2024, không pass thử việc</t>
  </si>
  <si>
    <t>x (1 năm)</t>
  </si>
  <si>
    <t>Cán bộ QA/QC cầu đường</t>
  </si>
  <si>
    <t>Trần Lê Anh Vũ</t>
  </si>
  <si>
    <t>nghỉ từ 06/09/2024, xin nghỉ lý do cá nhân</t>
  </si>
  <si>
    <t>Lục Văn Trí</t>
  </si>
  <si>
    <t>Nghỉ từ 19/09/2024, xin nghỉ lý do cá nhân</t>
  </si>
  <si>
    <t>thiếu GKSK + CCCD công chứng</t>
  </si>
  <si>
    <t>Lương Vĩnh Pháp</t>
  </si>
  <si>
    <t>Cán bộ kỹ thuật (cầu đường)</t>
  </si>
  <si>
    <t>Nghỉ từ chiều 15/11/2024, công việc không phù hợp</t>
  </si>
  <si>
    <t>Kỹ sư M&amp;E</t>
  </si>
  <si>
    <t>lương chính thức xét sau thử việc</t>
  </si>
  <si>
    <t>Đinh Văn Hưng</t>
  </si>
  <si>
    <t>xin nghỉ do không sắp xếp đc việc riêng</t>
  </si>
  <si>
    <t>Cao Thăng Long</t>
  </si>
  <si>
    <t>nghỉ từ 15/10/2024, xin nghỉ ly do không sắp xếp được việc gia đình</t>
  </si>
  <si>
    <t>Nguyễn Quốc Hiệp</t>
  </si>
  <si>
    <t>nghỉ từ 24/12/2024, lý do: mất đột ngột tại vp BCH TL7</t>
  </si>
  <si>
    <t>Ngày tháng năm sinh</t>
  </si>
  <si>
    <t>Địa chỉ tạm trú (nơi đang ở hiện tại)</t>
  </si>
  <si>
    <t>Ngày nhận việc</t>
  </si>
  <si>
    <t>ngày chính thức</t>
  </si>
  <si>
    <t>ngày ký hợp đồng</t>
  </si>
  <si>
    <t>Ngày nghỉ việc</t>
  </si>
  <si>
    <t>Số TK cá nhân</t>
  </si>
  <si>
    <t>Lý do nghỉ</t>
  </si>
  <si>
    <t>Số nhà/ Đường</t>
  </si>
  <si>
    <t>Phường/ Xã</t>
  </si>
  <si>
    <t>Quận/ Huyện</t>
  </si>
  <si>
    <t>Thành phố/ Tỉnh</t>
  </si>
  <si>
    <t>Họ tên</t>
  </si>
  <si>
    <t>Lư Đình Trọng</t>
  </si>
  <si>
    <t>Nguyễn Phương Khánh</t>
  </si>
  <si>
    <t>Huỳnh Văn Tân</t>
  </si>
  <si>
    <t>Đấu thầu</t>
  </si>
  <si>
    <t>Phạm Văn Đuốc</t>
  </si>
  <si>
    <t>Nguyễn Thị Ngọc Mỹ</t>
  </si>
  <si>
    <t>Lê Quốc Bảo</t>
  </si>
  <si>
    <t>Nguyễn Văn Khoa</t>
  </si>
  <si>
    <t>QA-QC</t>
  </si>
  <si>
    <t>KTTC</t>
  </si>
  <si>
    <t>Nguyễn Minh Đức</t>
  </si>
  <si>
    <t>M&amp;E</t>
  </si>
  <si>
    <t>Trần Ngọc Đức</t>
  </si>
  <si>
    <t>Lê Hoàng Duy</t>
  </si>
  <si>
    <t>Ấp Hòa Đông- Xã Hòa Tân - Tp Cà Mau - tỉnh Cà Mau</t>
  </si>
  <si>
    <t>165 tổ 9, Ấp Tường Nhơn B</t>
  </si>
  <si>
    <t>Xã Tường Lộc</t>
  </si>
  <si>
    <t>Huyện Tam Bình</t>
  </si>
  <si>
    <t>Tỉnh Vĩnh Long</t>
  </si>
  <si>
    <t>0938576867</t>
  </si>
  <si>
    <t>0942294272</t>
  </si>
  <si>
    <t>Phòng Kỹ Thuật - Thi Công</t>
  </si>
  <si>
    <t>PHẠM HỒNG NHIÊN</t>
  </si>
  <si>
    <t>lehoangduy568@gmail.com</t>
  </si>
  <si>
    <t>Lê Thị Diễm Phúc</t>
  </si>
  <si>
    <t>Nhân viên vật tư thiết bị</t>
  </si>
  <si>
    <t>Phòng Vật Tư - Thiết Bị</t>
  </si>
  <si>
    <t>Nguyễn Văn Hoa</t>
  </si>
  <si>
    <t>CBKT nhôm kính</t>
  </si>
  <si>
    <t>Nguyễn Thiện Tâm</t>
  </si>
  <si>
    <t>Ấp Tân Long 2. Xã Tân Thành Bình. Huyện Mỏ Cày Bắc. Bến Tre</t>
  </si>
  <si>
    <t>95-97 bình lợi. P13. Quận Bình Thạnh. HCM</t>
  </si>
  <si>
    <t>P.13</t>
  </si>
  <si>
    <t>Bình thạnh</t>
  </si>
  <si>
    <t>0915532240</t>
  </si>
  <si>
    <t>Nguyễn Kim Ngân</t>
  </si>
  <si>
    <t>Em gái</t>
  </si>
  <si>
    <t>0902979136</t>
  </si>
  <si>
    <t>Vật tư thiêt bị</t>
  </si>
  <si>
    <t>Phạm Hoàng Minh</t>
  </si>
  <si>
    <t>Tân Bình, Phụng Hiệp, Hậu Giang</t>
  </si>
  <si>
    <t>Phường Mỹ Hoà</t>
  </si>
  <si>
    <t xml:space="preserve">Tp. Long Xuyên </t>
  </si>
  <si>
    <t xml:space="preserve">An Giang </t>
  </si>
  <si>
    <t>0939191089</t>
  </si>
  <si>
    <t>9321305224</t>
  </si>
  <si>
    <t>Thủ kho công trình</t>
  </si>
  <si>
    <t>không làm QĐNV</t>
  </si>
  <si>
    <t>Trịnh Phú Quang</t>
  </si>
  <si>
    <t>Công An Quãng Ngãi</t>
  </si>
  <si>
    <t>Xã Bình Trung - huyện Bình Sơn - tỉnh Quảng Ngãi</t>
  </si>
  <si>
    <t>Quận Bình Thạnh</t>
  </si>
  <si>
    <t>0383664868</t>
  </si>
  <si>
    <t>0784170676</t>
  </si>
  <si>
    <t>Nhân viên Trắc đạc</t>
  </si>
  <si>
    <t>12/12; CAO ĐẲNG CÔNG NGHỆ KT TRẮC ĐỊA</t>
  </si>
  <si>
    <t>086089001173</t>
  </si>
  <si>
    <t xml:space="preserve"> Ấp An Phú , Xã An Khánh, Huyện Châu Thành, Tỉnh Đồng Tháp</t>
  </si>
  <si>
    <t>Ấp An Phú, Xã An Khánh, Huyện Châu Thành, Tỉnh Đồng Tháp</t>
  </si>
  <si>
    <t>Xã An Khánh</t>
  </si>
  <si>
    <t>Châu Thành</t>
  </si>
  <si>
    <t>0778194025</t>
  </si>
  <si>
    <t>Lê Thị Kiều</t>
  </si>
  <si>
    <t>0985420973</t>
  </si>
  <si>
    <t>Kĩ sư xây dựng</t>
  </si>
  <si>
    <t>thanhvu6689@gmail.com</t>
  </si>
  <si>
    <t>Công An Vĩnh Long</t>
  </si>
  <si>
    <t>0702985152</t>
  </si>
  <si>
    <t>8622069412</t>
  </si>
  <si>
    <t>Khác</t>
  </si>
  <si>
    <t>Hành chính nhân sự</t>
  </si>
  <si>
    <t>330987241</t>
  </si>
  <si>
    <t>Ấp Phú Sơn C, xã Long Phú, huyện Tam Bình, Vĩnh Long</t>
  </si>
  <si>
    <t>Ấp Tây</t>
  </si>
  <si>
    <t>phường Vĩnh Phú</t>
  </si>
  <si>
    <t>thị xã Thuận An</t>
  </si>
  <si>
    <t>0785648736</t>
  </si>
  <si>
    <t>Nguyễn Trọng Tuấn</t>
  </si>
  <si>
    <t>077082001593</t>
  </si>
  <si>
    <t>Trung Thành, Quảng Thành Châu Đức, Bà Rịa - Vũng Tàu</t>
  </si>
  <si>
    <t>Phó Giám Đốc Xây Dựng</t>
  </si>
  <si>
    <t>91/15 Bình Lợi, P 13 , Bình Thạnh, Hồ Chí Minh</t>
  </si>
  <si>
    <t>91/15 bình lợi</t>
  </si>
  <si>
    <t>0913445377</t>
  </si>
  <si>
    <t>Phạm thị Thanh Tuyền</t>
  </si>
  <si>
    <t>0983525377</t>
  </si>
  <si>
    <t>Trưởng bộ phận Vật tư Thiết bị</t>
  </si>
  <si>
    <t>Kỉ sư CK , Đại học</t>
  </si>
  <si>
    <t>nguyenvannga02071960@gmail.com</t>
  </si>
  <si>
    <t xml:space="preserve">47/30/10 Trường Lưu, Long Trường, Q.9, TP.HCM </t>
  </si>
  <si>
    <t>47/30/10 Trường Lưu</t>
  </si>
  <si>
    <t>Phường Long Trường</t>
  </si>
  <si>
    <t>kỹ sư xây dựng</t>
  </si>
  <si>
    <t>anh Thiện</t>
  </si>
  <si>
    <t>MS00072</t>
  </si>
  <si>
    <t>352133669</t>
  </si>
  <si>
    <t>10/06/2016</t>
  </si>
  <si>
    <t>CA An Giang</t>
  </si>
  <si>
    <t>Tổ 8, ấp Vĩnh Phú, xã Vĩnh An, huyện Châu Thành, tỉnh An Giang</t>
  </si>
  <si>
    <t>422 Đào Trí</t>
  </si>
  <si>
    <t>Phú Thuận</t>
  </si>
  <si>
    <t>Quận 7</t>
  </si>
  <si>
    <t>0343285284</t>
  </si>
  <si>
    <t>Nguyễn thị kim loan</t>
  </si>
  <si>
    <t>0986100237</t>
  </si>
  <si>
    <t>Kỹ Sư Trắc Đạc</t>
  </si>
  <si>
    <t>Nguyenvietqldd@gmail.com</t>
  </si>
  <si>
    <t>215014476</t>
  </si>
  <si>
    <t>Công An Bình Định</t>
  </si>
  <si>
    <t>Cát Hanh, Phù Cát, Bình Định</t>
  </si>
  <si>
    <t>Trưởng phòng Kế hoạch - Đấu thầu</t>
  </si>
  <si>
    <t>Anh Nguyễn Hiếu Thiện</t>
  </si>
  <si>
    <t>MS00077</t>
  </si>
  <si>
    <t>038089018535</t>
  </si>
  <si>
    <t>Xã Định Hưng, huyện Yên Định, tỉnh Thanh Hóa</t>
  </si>
  <si>
    <t>6B3 Hà Huy Giáp</t>
  </si>
  <si>
    <t>Thạnh Lộc</t>
  </si>
  <si>
    <t>0978546864</t>
  </si>
  <si>
    <t>Trịnh Thị Loan</t>
  </si>
  <si>
    <t>01669502350</t>
  </si>
  <si>
    <t>Cán Bộ Kỹ Thuật</t>
  </si>
  <si>
    <t>A Trung</t>
  </si>
  <si>
    <t>hoathan19892012@gmail.com</t>
  </si>
  <si>
    <t>MS00074</t>
  </si>
  <si>
    <t>CA Phú Yên</t>
  </si>
  <si>
    <t>Phú Lộc, Hòa Thắng, Phú Hòa, Phú Yên</t>
  </si>
  <si>
    <t>106/7B Trương Văn Thành</t>
  </si>
  <si>
    <t>Phường Hiệp Phú</t>
  </si>
  <si>
    <t>Tp Thủ Đức</t>
  </si>
  <si>
    <t>0909111431</t>
  </si>
  <si>
    <t>0967878160 Chị gái</t>
  </si>
  <si>
    <t>0918417547 Em gái</t>
  </si>
  <si>
    <t>03299119652 Vợ</t>
  </si>
  <si>
    <t>nguyenhoangvinh0078@gmail.com</t>
  </si>
  <si>
    <t>MS00076</t>
  </si>
  <si>
    <t>221335598</t>
  </si>
  <si>
    <t>Định trung 1 - An Định - Tuy An - Phú Yên</t>
  </si>
  <si>
    <t>Định trung 1</t>
  </si>
  <si>
    <t>An định</t>
  </si>
  <si>
    <t>Tuy an</t>
  </si>
  <si>
    <t>Phú yên</t>
  </si>
  <si>
    <t>0966442607</t>
  </si>
  <si>
    <t>Nguyễn thái nguyên</t>
  </si>
  <si>
    <t>Anh ruột</t>
  </si>
  <si>
    <t>0973201734</t>
  </si>
  <si>
    <t>Vũ</t>
  </si>
  <si>
    <t>Thaitrung260793@gmail.com</t>
  </si>
  <si>
    <t>MS00073</t>
  </si>
  <si>
    <t>06/02/2015</t>
  </si>
  <si>
    <t>CA Tỉnh Quảng Ngãi</t>
  </si>
  <si>
    <t>Đội 2 thôn Phú Bình Xã Tịnh châu TP Quảng Ngãi Tỉnh Quảng Ngãi</t>
  </si>
  <si>
    <t>46/1B Đường 61</t>
  </si>
  <si>
    <t>Phước Long B</t>
  </si>
  <si>
    <t>TP. Thủ Đức</t>
  </si>
  <si>
    <t>0961433691</t>
  </si>
  <si>
    <t>0922179279</t>
  </si>
  <si>
    <t>phamdinhohin@gmail.com</t>
  </si>
  <si>
    <t>221357413</t>
  </si>
  <si>
    <t>Công An Phú Yên</t>
  </si>
  <si>
    <t>Thôn Vĩnh Xuân, xã Hoà Tân Đông, Thị Xã Đông Hoà, Tỉnh Phú Yên</t>
  </si>
  <si>
    <t>255/18/4 Quốc Lộ 13 cũ</t>
  </si>
  <si>
    <t>0336765610</t>
  </si>
  <si>
    <t>Võ Thị Thanh Vương</t>
  </si>
  <si>
    <t>0334689881</t>
  </si>
  <si>
    <t>vothanhvuongxd@gmail.com</t>
  </si>
  <si>
    <t>MS00079</t>
  </si>
  <si>
    <t>30/05/1987</t>
  </si>
  <si>
    <t>172904258</t>
  </si>
  <si>
    <t>16/02/2016</t>
  </si>
  <si>
    <t>Công An Thanh Hóa</t>
  </si>
  <si>
    <t>Thị Trấn Sao Vàng, huyện Thọ Xuân, tỉnh Thanh Hoá</t>
  </si>
  <si>
    <t>13/1 đường số 4, Khu Phố 3</t>
  </si>
  <si>
    <t>Linh Xuân</t>
  </si>
  <si>
    <t>TP Thủ Đức</t>
  </si>
  <si>
    <t>0975997806, 0877757345</t>
  </si>
  <si>
    <t>Đỗ thị hằng</t>
  </si>
  <si>
    <t>0986696454</t>
  </si>
  <si>
    <t>Trung cấp nghề</t>
  </si>
  <si>
    <t>Dovankien69@gmail.com</t>
  </si>
  <si>
    <t>MS00082</t>
  </si>
  <si>
    <t>038082014910</t>
  </si>
  <si>
    <t>CA Thanh Hóa</t>
  </si>
  <si>
    <t>Thôn Kéo, Điền Trung, Bá Thước, Thanh Hóa</t>
  </si>
  <si>
    <t>102 Nguyễn Văn Tạo, ấp 3</t>
  </si>
  <si>
    <t>Long Thới</t>
  </si>
  <si>
    <t>Nhà Bè</t>
  </si>
  <si>
    <t>Tp. Hồ Chí Minh</t>
  </si>
  <si>
    <t>0973196949</t>
  </si>
  <si>
    <t>Lò Thị Hà</t>
  </si>
  <si>
    <t>0985896225</t>
  </si>
  <si>
    <t>Nhân viên kỹ thuật hiện trường</t>
  </si>
  <si>
    <t>Cao Đẳng</t>
  </si>
  <si>
    <t>thanhdmk@gmail.com</t>
  </si>
  <si>
    <t>MS00090</t>
  </si>
  <si>
    <t>079096028494</t>
  </si>
  <si>
    <t>Tổ 1 . Ấp 4 . Tân Thạnh Đông . Củ chi . Tphcm</t>
  </si>
  <si>
    <t>160/5a Huỳnh Minh Mương. Ấp 4. Tân Thạnh Đông . Củ chi. Tphcm</t>
  </si>
  <si>
    <t>Tân Thạnh Đông</t>
  </si>
  <si>
    <t>Củ chi</t>
  </si>
  <si>
    <t>Tphcm</t>
  </si>
  <si>
    <t>0356425493</t>
  </si>
  <si>
    <t>0967181446</t>
  </si>
  <si>
    <t>Nhân viên</t>
  </si>
  <si>
    <t>Công trường</t>
  </si>
  <si>
    <t>Abcdef147593@gmail.cơm</t>
  </si>
  <si>
    <t>MS00088</t>
  </si>
  <si>
    <t>Thị trấn Cẩm Xuyên, huyện Cẩm Xuyên, tỉnh Hà Tĩnh</t>
  </si>
  <si>
    <t>0868626339</t>
  </si>
  <si>
    <t>MS00085</t>
  </si>
  <si>
    <t>0337019130</t>
  </si>
  <si>
    <t>MS00071</t>
  </si>
  <si>
    <t>079076015166</t>
  </si>
  <si>
    <t>Công An TP.HCM</t>
  </si>
  <si>
    <t>414/62 Nơ Trang Long, P. 13, Bình Thạnh, TP. HCM</t>
  </si>
  <si>
    <t>414/62 nơ trang Long</t>
  </si>
  <si>
    <t>0772772226</t>
  </si>
  <si>
    <t>Nguyễn thị kim Ngọc</t>
  </si>
  <si>
    <t>0908336499</t>
  </si>
  <si>
    <t>Phòng HCNS</t>
  </si>
  <si>
    <t>Dấu D 12/12</t>
  </si>
  <si>
    <t>MS00089</t>
  </si>
  <si>
    <t>03/07/1986</t>
  </si>
  <si>
    <t>089086009862</t>
  </si>
  <si>
    <t>Tổ Dân Phố 2B, Thị trấn Đạ Terh, Đạ Terh, Lâm Đồng</t>
  </si>
  <si>
    <t>95/2/45</t>
  </si>
  <si>
    <t>Tp hồ chí minh</t>
  </si>
  <si>
    <t>0363248965</t>
  </si>
  <si>
    <t>0767730730</t>
  </si>
  <si>
    <t>Mr MINH</t>
  </si>
  <si>
    <t>Phổ thông</t>
  </si>
  <si>
    <t>Tien661665@gmail.com</t>
  </si>
  <si>
    <t>MS00086</t>
  </si>
  <si>
    <t>082095010826</t>
  </si>
  <si>
    <t>2682 ấp Ninh Quới, xã Long Bình, huyện Gò Công Tây, tỉnh Tiền Giang</t>
  </si>
  <si>
    <t>2682 ấp ninh qưới</t>
  </si>
  <si>
    <t>Long bình</t>
  </si>
  <si>
    <t>Q7</t>
  </si>
  <si>
    <t>0909418395, 0931067131</t>
  </si>
  <si>
    <t>0931067131</t>
  </si>
  <si>
    <t>0909418385</t>
  </si>
  <si>
    <t>Pqthai27@gmail.com</t>
  </si>
  <si>
    <t>083186000432</t>
  </si>
  <si>
    <t>21/12/2021</t>
  </si>
  <si>
    <t>55/18/3 Đường 42, KP8, P.Hiệp Bình Chánh, Thủ Đức</t>
  </si>
  <si>
    <t>55/18/3 Đường 42, KP8</t>
  </si>
  <si>
    <t>0917638819</t>
  </si>
  <si>
    <t>0888639981</t>
  </si>
  <si>
    <t>7939036507</t>
  </si>
  <si>
    <t>TP TCKT</t>
  </si>
  <si>
    <t>phuongthao.enimac@gmail.com</t>
  </si>
  <si>
    <t>MS00094</t>
  </si>
  <si>
    <t>MS00092</t>
  </si>
  <si>
    <t>052188003315</t>
  </si>
  <si>
    <t>KDC Ehome4 , Phường Vĩnh Phú, TP Thuận An, Bình Dương</t>
  </si>
  <si>
    <t>KDC Ehome4</t>
  </si>
  <si>
    <t>Vĩnh Phú</t>
  </si>
  <si>
    <t>0987638187</t>
  </si>
  <si>
    <t>Trần Hoài Nam</t>
  </si>
  <si>
    <t>0932159077</t>
  </si>
  <si>
    <t>Đại Học</t>
  </si>
  <si>
    <t>acc.kieunguyen@gmail.com</t>
  </si>
  <si>
    <t>MS00097</t>
  </si>
  <si>
    <t>089201001488</t>
  </si>
  <si>
    <t>189, tổ 3, ấp 1, xã Hưng Hòa, huyện Bàu Bàng, tỉnh Bình Dương</t>
  </si>
  <si>
    <t>1403/3e An Phú Đông 10</t>
  </si>
  <si>
    <t>An Phú Đông</t>
  </si>
  <si>
    <t>0975497571</t>
  </si>
  <si>
    <t>Ba</t>
  </si>
  <si>
    <t>MS00075</t>
  </si>
  <si>
    <t>060094009032</t>
  </si>
  <si>
    <t>12/05/2022</t>
  </si>
  <si>
    <t>Hàm Thắng, Hàm Thuận Bắc, Bình Thuận</t>
  </si>
  <si>
    <t>237/3, KP. Thạnh Lợi, đường Nguyễn Chí Thanh</t>
  </si>
  <si>
    <t>Phường An Thạnh</t>
  </si>
  <si>
    <t>Huyện Thuận An</t>
  </si>
  <si>
    <t>0937 755 478</t>
  </si>
  <si>
    <t>Cô Trang</t>
  </si>
  <si>
    <t>là Mẹ</t>
  </si>
  <si>
    <t>037 236 0747</t>
  </si>
  <si>
    <t>anh Hổ</t>
  </si>
  <si>
    <t>MS00114</t>
  </si>
  <si>
    <t>MS00115</t>
  </si>
  <si>
    <t>083090013039</t>
  </si>
  <si>
    <t>Ấp Phước Hảo, Bình Khánh, Mỏ Cày Nam, Bến Tre</t>
  </si>
  <si>
    <t>0858436297; 0347478924</t>
  </si>
  <si>
    <t>MS00107</t>
  </si>
  <si>
    <t>089096007136</t>
  </si>
  <si>
    <t>Tổ 21, Hòa Tây B, Phú Thuận, Thoại Sơn, An Giang</t>
  </si>
  <si>
    <t>Số 18, Lý Thái Tổ</t>
  </si>
  <si>
    <t>Phường Mỹ Phước</t>
  </si>
  <si>
    <t>TP Long Xuyên</t>
  </si>
  <si>
    <t>An Giang</t>
  </si>
  <si>
    <t>0901885988</t>
  </si>
  <si>
    <t>Nguyễn Văn Khá</t>
  </si>
  <si>
    <t>Cậu</t>
  </si>
  <si>
    <t>0963060632</t>
  </si>
  <si>
    <t>Phind0503@gmail.com</t>
  </si>
  <si>
    <t>051088018296</t>
  </si>
  <si>
    <t>thôn An Cư, Nghĩa Thắng Tư Nghĩa Quảng Ngãi</t>
  </si>
  <si>
    <t>17 đường số 2 khu phố 5</t>
  </si>
  <si>
    <t>0932601550</t>
  </si>
  <si>
    <t>Bùi Thanh Lan</t>
  </si>
  <si>
    <t>0855233133</t>
  </si>
  <si>
    <t>Tanvuonggtvt@gmail.com</t>
  </si>
  <si>
    <t>xin nghỉ vì lý do cá nhân</t>
  </si>
  <si>
    <t>MS00087</t>
  </si>
  <si>
    <t>001087043091</t>
  </si>
  <si>
    <t>Tổ 1, Khu phố 3, Hưng Long, Chơn Thành, Bình Phước</t>
  </si>
  <si>
    <t>0775081870</t>
  </si>
  <si>
    <t>tienmanh.ct@gmail.com</t>
  </si>
  <si>
    <t>01/10/2022</t>
  </si>
  <si>
    <t>công ty cho nghỉ, không đạt yc cầu việc</t>
  </si>
  <si>
    <t>056054000009</t>
  </si>
  <si>
    <t>233/16 Nguyễn Trãi, P.Nguyễn Cư Trinh, Q.1, TPHCM</t>
  </si>
  <si>
    <t>233/16 Nguyễn Trãi</t>
  </si>
  <si>
    <t>Phường Nguyễn Cư Trinh</t>
  </si>
  <si>
    <t>Q.1</t>
  </si>
  <si>
    <t>0918184859</t>
  </si>
  <si>
    <t>Tôn Nữ Diệu Hồng</t>
  </si>
  <si>
    <t>7928355682</t>
  </si>
  <si>
    <t xml:space="preserve">Trưởng phòng </t>
  </si>
  <si>
    <t>thanhphuhcns@gmail.com</t>
  </si>
  <si>
    <t>MS00091</t>
  </si>
  <si>
    <t>060079015736</t>
  </si>
  <si>
    <t>Tổ 9, khu phố 6 Phú Tài, Thành Phố Phan Thiết, Bình Thuận</t>
  </si>
  <si>
    <t>71/48/3V đường số 6</t>
  </si>
  <si>
    <t>0973226677</t>
  </si>
  <si>
    <t>Cao Thị Minh Yến</t>
  </si>
  <si>
    <t>0834593272</t>
  </si>
  <si>
    <t>10/12</t>
  </si>
  <si>
    <t>xin nghỉ, đổi công việc khác</t>
  </si>
  <si>
    <t>MS00101</t>
  </si>
  <si>
    <t>045085000121</t>
  </si>
  <si>
    <t>350/37/5 Nguyễn Văn Lượng, F16, Gò Vấp, TP Hồ Chí Minh</t>
  </si>
  <si>
    <t>KDC Cityland Park Hill, đường số 10</t>
  </si>
  <si>
    <t>Phường 10</t>
  </si>
  <si>
    <t>Tp Hồ Chí Minh</t>
  </si>
  <si>
    <t>0978402090</t>
  </si>
  <si>
    <t>Mai Thị Bích</t>
  </si>
  <si>
    <t>0909984389</t>
  </si>
  <si>
    <t>Chỉ huy trưởng công trình</t>
  </si>
  <si>
    <t>duongquangmanhlinh@gmail.com</t>
  </si>
  <si>
    <t>công ty cho nghỉ, hết việc</t>
  </si>
  <si>
    <t>MS00108</t>
  </si>
  <si>
    <t>089083018434</t>
  </si>
  <si>
    <t>78/5 Đông thịnh 2, Mỹ Phước, tp Long Xuyên, tỉnh An Giang</t>
  </si>
  <si>
    <t>37 đường 84 Cao Lỗ,</t>
  </si>
  <si>
    <t>phường 4,</t>
  </si>
  <si>
    <t>quận 8, tp Hồ Chí Minh</t>
  </si>
  <si>
    <t>tp Hồ Chí Minh</t>
  </si>
  <si>
    <t>0933030183</t>
  </si>
  <si>
    <t>Phạm Quốc Dũng</t>
  </si>
  <si>
    <t>cha</t>
  </si>
  <si>
    <t>0903757079</t>
  </si>
  <si>
    <t>kỹ sư điện</t>
  </si>
  <si>
    <t>huypham383@gmail.com</t>
  </si>
  <si>
    <t>MS00118</t>
  </si>
  <si>
    <t>080185000412</t>
  </si>
  <si>
    <t>84A Hồng Sến, khu phố 1, Long Thạnh Mỹ, TP. Thủ Đức, TP. HCM</t>
  </si>
  <si>
    <t>0908637009</t>
  </si>
  <si>
    <t>Trần Hữu Hòa</t>
  </si>
  <si>
    <t>0989231131</t>
  </si>
  <si>
    <t>xin nghỉ, công việc không phù hợp</t>
  </si>
  <si>
    <t>Đoàn Văn Thuận</t>
  </si>
  <si>
    <t>087049000464</t>
  </si>
  <si>
    <t xml:space="preserve">Ấp Bình Hòa Hạ, Xã Thường Lạc, Huyện Hồng Ngự, Tỉnh Đồng Tháp </t>
  </si>
  <si>
    <t xml:space="preserve">H323/20D Tỉnh Lộ 15 </t>
  </si>
  <si>
    <t>0913406563</t>
  </si>
  <si>
    <t>0989450473</t>
  </si>
  <si>
    <t>4/12</t>
  </si>
  <si>
    <t>cho nghỉ, hết việc</t>
  </si>
  <si>
    <t>MS00102</t>
  </si>
  <si>
    <t>086083013199</t>
  </si>
  <si>
    <t>Hòa Thới, Nguyễn Văn Thảnh, Bình Tân, Vĩnh Long</t>
  </si>
  <si>
    <t>0938563446</t>
  </si>
  <si>
    <t>NGUYỄN NGỌC PHÚC</t>
  </si>
  <si>
    <t>0795707473</t>
  </si>
  <si>
    <t>0205188144</t>
  </si>
  <si>
    <t>minhnguyencong446@gmail.com</t>
  </si>
  <si>
    <t>093083013557</t>
  </si>
  <si>
    <t>Ấp Xẻo Trâm, Hòa An, Phụng Hiệp, Hậu Giang</t>
  </si>
  <si>
    <t>0902584574</t>
  </si>
  <si>
    <t>0939197525</t>
  </si>
  <si>
    <t>9/12</t>
  </si>
  <si>
    <t>086181010313</t>
  </si>
  <si>
    <t>Hồi Xuân, Xuân Hiệp, Trà Ôn, Vĩnh Long</t>
  </si>
  <si>
    <t>MS00110</t>
  </si>
  <si>
    <t>095094001523</t>
  </si>
  <si>
    <t>Ấp Lung Rong, Định Thành A, Đông Hải, Bạc Liêu</t>
  </si>
  <si>
    <t>0823414505</t>
  </si>
  <si>
    <t>ngminhquang0904@gmail.com</t>
  </si>
  <si>
    <t>18/HĐLĐ/2023/TP</t>
  </si>
  <si>
    <t>xin nghỉ do côn việc không phù hợp</t>
  </si>
  <si>
    <t>Nguyễn Hữu Vương</t>
  </si>
  <si>
    <t>054093010354</t>
  </si>
  <si>
    <t>Phú Khê 2, Hòa Xuân Đông, Đông Hòa, Phú Yên</t>
  </si>
  <si>
    <t>27/9A Bình Đường 2</t>
  </si>
  <si>
    <t>An Bình</t>
  </si>
  <si>
    <t>Dĩ An</t>
  </si>
  <si>
    <t>0375753774</t>
  </si>
  <si>
    <t>0369182208</t>
  </si>
  <si>
    <t>5421090898</t>
  </si>
  <si>
    <t>Trưởng bộ phận Kế hoạch - Đấu Thầu</t>
  </si>
  <si>
    <t>Huuvuongpy@gmail.com</t>
  </si>
  <si>
    <t>08/HĐLĐ/2019/TP</t>
  </si>
  <si>
    <t>xin nghỉ do mở công ty riêng</t>
  </si>
  <si>
    <t>Ấp An Phú, An Khánh, Châu Thành, Đồng Tháp</t>
  </si>
  <si>
    <t>8621245422</t>
  </si>
  <si>
    <t>15/HĐLĐ/2023/TP</t>
  </si>
  <si>
    <t>xin nghỉ do muốn làm việc tại các khu vực gần Vĩnh Long, công ty chưa có dự án</t>
  </si>
  <si>
    <t>044090000910</t>
  </si>
  <si>
    <t>Xóm 3, Thôn Thái Xá, Mai Thủy, Lệ Thủy, Quảng Bình</t>
  </si>
  <si>
    <t>0916551789</t>
  </si>
  <si>
    <t>01/2024/HĐLĐ/TP</t>
  </si>
  <si>
    <t>xin nghỉ về đà nẵng</t>
  </si>
  <si>
    <t>079097009849</t>
  </si>
  <si>
    <t>110k/22 Lê Văn Duyệt P.1 Q.Bình Thạnh</t>
  </si>
  <si>
    <t>0332404218</t>
  </si>
  <si>
    <t>Doãn Thị Chi</t>
  </si>
  <si>
    <t>087 9353918</t>
  </si>
  <si>
    <t>Bằng C ô tô</t>
  </si>
  <si>
    <t>nguyentronghieudino@gmail.com</t>
  </si>
  <si>
    <t>VietinBank STK: 104869250792</t>
  </si>
  <si>
    <t>xin nghỉ, bị giam bằng 2 tháng</t>
  </si>
  <si>
    <t>072075001821</t>
  </si>
  <si>
    <t>125/9 bờ bao tân thắng, phường sơn kỳ, quận tân phú. Tp HCM</t>
  </si>
  <si>
    <t>125/9 bờ bao tân thắng</t>
  </si>
  <si>
    <t>Phường sơn kỳ</t>
  </si>
  <si>
    <t>Quận rân phú</t>
  </si>
  <si>
    <t>0962264239</t>
  </si>
  <si>
    <t>Trương Thị Thắm</t>
  </si>
  <si>
    <t>0971914609</t>
  </si>
  <si>
    <t>Dương thái Luyến</t>
  </si>
  <si>
    <t>12/12 bằng lái xe hạng D</t>
  </si>
  <si>
    <t>T09/2022</t>
  </si>
  <si>
    <t>12/HĐLĐ/2022/TP</t>
  </si>
  <si>
    <t>xin nghỉ, chấn thương chân không làm được</t>
  </si>
  <si>
    <t>079092013231</t>
  </si>
  <si>
    <t>272 Lê Quang Định, phường 11, quận Bình Thạnh</t>
  </si>
  <si>
    <t>0932700010</t>
  </si>
  <si>
    <t>Trần Lê Anh Minh</t>
  </si>
  <si>
    <t>Em Ruột</t>
  </si>
  <si>
    <t>0909933420</t>
  </si>
  <si>
    <t>7913232102</t>
  </si>
  <si>
    <t>B2</t>
  </si>
  <si>
    <t>bjnbjn0609@gmail.com</t>
  </si>
  <si>
    <t>19037109107028 Techcombach</t>
  </si>
  <si>
    <t>044091011857</t>
  </si>
  <si>
    <t>Việt Trung Bố Trạch, Quảng Bình</t>
  </si>
  <si>
    <t>Căn 0606, Block A, CC Stown Phúc An 1, Đường N3, Dĩ An, Bình Dương</t>
  </si>
  <si>
    <t>0386009228</t>
  </si>
  <si>
    <t>Đặng Thị Mùi</t>
  </si>
  <si>
    <t>0356261621</t>
  </si>
  <si>
    <t>7916026765</t>
  </si>
  <si>
    <t>Trưởng Phòng KH-Đấu Thầu</t>
  </si>
  <si>
    <t>hoangtoan0291@gmail.com</t>
  </si>
  <si>
    <t>1800170969 - Ngân Hàng BIDV - CN Kỳ Hòa, TP.HCM</t>
  </si>
  <si>
    <t>không đạt đánh giá thử việc, năng lực chưa đủ đảm nhiệm vị trí trưởng phòng</t>
  </si>
  <si>
    <t>051097013831</t>
  </si>
  <si>
    <t>Xã Nghĩa Mỹ- Huyện Tư Nghĩa- Tỉnh Quảng Ngãi</t>
  </si>
  <si>
    <t>592 Đường Nguyễn Văn Quá-Phường Đông Hưng Thuận- Quận 12- TP HCM</t>
  </si>
  <si>
    <t>0327507357</t>
  </si>
  <si>
    <t>Nguyên</t>
  </si>
  <si>
    <t>0388495785</t>
  </si>
  <si>
    <t>5120675863</t>
  </si>
  <si>
    <t>Ngành kỹ thuật xây dựng công trình giao thông ( Xây Dựng Cầu Đường)</t>
  </si>
  <si>
    <t>lucvantri1@gmail.com</t>
  </si>
  <si>
    <t>0271001017763 + VIETCOMBANK + CHI NHÁNH QUẢNG NGÃI</t>
  </si>
  <si>
    <t>xin nghỉ, lý do cá nhân</t>
  </si>
  <si>
    <t>079180013273</t>
  </si>
  <si>
    <t>75/36/33/8, KP4, An Phú Đông, Quận 12, Hồ Chí Minh</t>
  </si>
  <si>
    <t>0909459899</t>
  </si>
  <si>
    <t>0203282812</t>
  </si>
  <si>
    <t>ducnhon2007@yahoo.com.vn</t>
  </si>
  <si>
    <t>13/HĐLĐ/2023/TP</t>
  </si>
  <si>
    <t>237/3, KP. Thạnh Lợi, đường Nguyễn C+L62+M62</t>
  </si>
  <si>
    <t>vuongtvt.thanhphuxd@gmail.com</t>
  </si>
  <si>
    <t>T12/2023</t>
  </si>
  <si>
    <t>01/HĐLĐ/2023/PĐ</t>
  </si>
  <si>
    <t>Cán bộ QAQC cầu đường</t>
  </si>
  <si>
    <t>056090002340</t>
  </si>
  <si>
    <t>Hà Liên, Ninh Hòa, Khánh Hòa</t>
  </si>
  <si>
    <t>52/6 Trương Đăng Quế, phường 1, Gò Vấp</t>
  </si>
  <si>
    <t>0708583988</t>
  </si>
  <si>
    <t>Nguyễn Thị Hà</t>
  </si>
  <si>
    <t>0774546126</t>
  </si>
  <si>
    <t>Kỹ sư công trình giao thông</t>
  </si>
  <si>
    <t>13010001413404 - BIDV - CN sở GD 2</t>
  </si>
  <si>
    <t>084091010562</t>
  </si>
  <si>
    <t>Tích phú - Tích Thiện - Trà Ôn - Vĩnh Long</t>
  </si>
  <si>
    <t>0969584129</t>
  </si>
  <si>
    <t>Nguyễn văn sơn</t>
  </si>
  <si>
    <t>0339080439</t>
  </si>
  <si>
    <t>Ban An toàn lao động</t>
  </si>
  <si>
    <t>Bảo Hộ Lao Động</t>
  </si>
  <si>
    <t>huynhematld.ap@gmail.com</t>
  </si>
  <si>
    <t>Xin nghỉ, lấy danh nghĩa công ty mượn nợ từ đồng nghiệp cho đến tổ đội, làm hồ sơ lấy tiền của tổ đội</t>
  </si>
  <si>
    <t>BÁO CÁO NHÂN SỰ HẰNG NGÀY</t>
  </si>
  <si>
    <t>DANH SÁCH ĐOÀN VIÊN 
(CUỐI 2021)</t>
  </si>
  <si>
    <t>Ngày vào làm việc tại đơn vị</t>
  </si>
  <si>
    <t/>
  </si>
  <si>
    <t>DANH SÁCH TUYỂN DỤNG MỚI VÀ NGHỈ VIỆC 2021</t>
  </si>
  <si>
    <t>Bộ Phận</t>
  </si>
  <si>
    <t>Ngày vào làm</t>
  </si>
  <si>
    <t>Nhân viên tuyển dụng mới</t>
  </si>
  <si>
    <t>bảo vệ</t>
  </si>
  <si>
    <t>Trưởng BPTB</t>
  </si>
  <si>
    <t>Nhân viên nghỉ việc</t>
  </si>
  <si>
    <t>DANH SÁCH TUYỂN DỤNG MỚI VÀ NGHỈ VIỆC 2022</t>
  </si>
  <si>
    <t>ME</t>
  </si>
  <si>
    <t>Thiết bị</t>
  </si>
  <si>
    <t>HCNS</t>
  </si>
  <si>
    <t xml:space="preserve">  20/03/2022</t>
  </si>
  <si>
    <t xml:space="preserve">  04/05/2022</t>
  </si>
  <si>
    <t xml:space="preserve">  21/04/2022</t>
  </si>
  <si>
    <t xml:space="preserve">  22/4/2022</t>
  </si>
  <si>
    <t xml:space="preserve">  07/04/2022</t>
  </si>
  <si>
    <t xml:space="preserve">  13/07/2022</t>
  </si>
  <si>
    <t xml:space="preserve">  02/07/2022</t>
  </si>
  <si>
    <t xml:space="preserve">  13/08/2022</t>
  </si>
  <si>
    <t xml:space="preserve">  19/07/2022</t>
  </si>
  <si>
    <t xml:space="preserve">  26/09/2022</t>
  </si>
  <si>
    <t xml:space="preserve">  19/09/2022</t>
  </si>
  <si>
    <t xml:space="preserve">  21/11/2022</t>
  </si>
  <si>
    <t xml:space="preserve">  03/10/2022</t>
  </si>
  <si>
    <t>PGD Dân Dụng</t>
  </si>
  <si>
    <t>Kế hoạch - Đấu Thầu</t>
  </si>
  <si>
    <t>DANH SÁCH HỢP ĐỒNG</t>
  </si>
  <si>
    <t>0779799591</t>
  </si>
  <si>
    <t>Lê Tiến Oanh</t>
  </si>
  <si>
    <t>Cử nhân Tiếng anh thương mại</t>
  </si>
  <si>
    <t>01/06/2024</t>
  </si>
  <si>
    <t>janele1985@gmail.com</t>
  </si>
  <si>
    <t>2730447 ngân hàng ACB</t>
  </si>
  <si>
    <t>Ngày tái ký hợp đồng lần 1</t>
  </si>
  <si>
    <t>nghỉ trong thời gian thử việc</t>
  </si>
  <si>
    <t>xin nghỉ trong thời gian thử việc, công việc không phù hợp</t>
  </si>
  <si>
    <t>xin nghỉ, nghỉ do lớn tuổi</t>
  </si>
  <si>
    <t>Kỹ Sư Công Nghiệp</t>
  </si>
  <si>
    <t>T03/2025</t>
  </si>
  <si>
    <t>7910271105</t>
  </si>
  <si>
    <t>Trần Vũ Luân</t>
  </si>
  <si>
    <t>Cán bộ kỹ thuật nhôm kính</t>
  </si>
  <si>
    <t>Nguyễn Tuấn Tài</t>
  </si>
  <si>
    <t>Hoàng Hải Sang</t>
  </si>
  <si>
    <t>Chuyên viên phòng đầu thầu</t>
  </si>
  <si>
    <t>Đặng Gia Khuyến</t>
  </si>
  <si>
    <t>Cán bộ dự toán</t>
  </si>
  <si>
    <t>Giám đốc dự án 102 NKKN</t>
  </si>
  <si>
    <t>thiếu GKSK</t>
  </si>
  <si>
    <t>Trần Lê Minh</t>
  </si>
  <si>
    <t>không thử việc</t>
  </si>
  <si>
    <t>Thị trấn Mộ Đức, huyện Mộ Đức, tỉnh Quảng Ngãi</t>
  </si>
  <si>
    <t>Phước Lợi, Phổ Nhơn, Thị Xã Đức Phổ, Quảng Ngãi</t>
  </si>
  <si>
    <t>079075001416</t>
  </si>
  <si>
    <t>2637/21/03 Huỳnh Tấn Phát, Phú Xuân, Nhà Bè, Tphcm</t>
  </si>
  <si>
    <t>Cao Duy Linh</t>
  </si>
  <si>
    <t>251 đường 11, Linh Xuân, Thủ Đức, TP Hồ Chí Minh</t>
  </si>
  <si>
    <t>052098001390</t>
  </si>
  <si>
    <t>049090025155</t>
  </si>
  <si>
    <t>051090011468</t>
  </si>
  <si>
    <t>051090002878</t>
  </si>
  <si>
    <t>054098004407</t>
  </si>
  <si>
    <t>074093000938</t>
  </si>
  <si>
    <t>194/7 Tân Thới Nhất 8, P. Tân Thới Nhất, Q.12, Tp. HCM</t>
  </si>
  <si>
    <t>17 Đường số 2, KP Tân Lập, Đông Hòa, Dĩ An, Bình Dương</t>
  </si>
  <si>
    <t>E23-10-04 Chung cư Belleza, Phường Phú Mỹ, Q7, TPHCM</t>
  </si>
  <si>
    <t>0329911874</t>
  </si>
  <si>
    <t>Nguyễn Thị Mỹ Lài</t>
  </si>
  <si>
    <t>0703904066</t>
  </si>
  <si>
    <t>0938662579</t>
  </si>
  <si>
    <t>Trần Thanh Hiệp</t>
  </si>
  <si>
    <t>0901523335</t>
  </si>
  <si>
    <t>0973821454</t>
  </si>
  <si>
    <t>Bùi Thị Nữ</t>
  </si>
  <si>
    <t>0373063997</t>
  </si>
  <si>
    <t>0902550146</t>
  </si>
  <si>
    <t>Đặng Ánh Nguyên</t>
  </si>
  <si>
    <t>0337134087</t>
  </si>
  <si>
    <t>0902573839</t>
  </si>
  <si>
    <t>LÊ THỊ TÂM HÀ</t>
  </si>
  <si>
    <t>0903573839</t>
  </si>
  <si>
    <t>0933350897</t>
  </si>
  <si>
    <t>Trần Ngọc Kim Thoa</t>
  </si>
  <si>
    <t>0964048915</t>
  </si>
  <si>
    <t>0978231198</t>
  </si>
  <si>
    <t>Trần Lê Anh</t>
  </si>
  <si>
    <t>0865104899</t>
  </si>
  <si>
    <t>7915010269</t>
  </si>
  <si>
    <t>7913036164</t>
  </si>
  <si>
    <t>Chuyên viên</t>
  </si>
  <si>
    <t>5421016064</t>
  </si>
  <si>
    <t>0204208052</t>
  </si>
  <si>
    <t>Giám đốc QLDA</t>
  </si>
  <si>
    <t>7914140714</t>
  </si>
  <si>
    <t>Giám sát kĩ thuật</t>
  </si>
  <si>
    <t>5220596076</t>
  </si>
  <si>
    <t>kỹ thuật xây dựng công trình giao thông</t>
  </si>
  <si>
    <t>Xây dựng dân dụng và công nghiệp</t>
  </si>
  <si>
    <t>Kỹ thuật xây dựng</t>
  </si>
  <si>
    <t>Kinh tế xây dựng</t>
  </si>
  <si>
    <t>KỸ SƯ XÂY DỰNG</t>
  </si>
  <si>
    <t>Sư phạm kỹ thuật Điện</t>
  </si>
  <si>
    <t>Công nghệ kĩ thuật xây dựng</t>
  </si>
  <si>
    <t>luantv203@gmail.com</t>
  </si>
  <si>
    <t>238868649 ngân hàng ACB chi nhánh pgd bình đăng</t>
  </si>
  <si>
    <t>tuantaiksxd@gmail.com</t>
  </si>
  <si>
    <t>60113199711 - sacombank Thủ Đức - Nguyễn Tuấn Tài</t>
  </si>
  <si>
    <t>sangqn09@gmail.com</t>
  </si>
  <si>
    <t>1800086808/HOANG HAI SANG/NGÂN HÀNG BIDV</t>
  </si>
  <si>
    <t>danggiakhuyenpy2024@gmail.com</t>
  </si>
  <si>
    <t>8872185294 + BIDV + BIDV chi nhánh Thủ Đức</t>
  </si>
  <si>
    <t>longht.cons@gmail.com</t>
  </si>
  <si>
    <t>linhcao1711@gmail.com</t>
  </si>
  <si>
    <t>90789791179 ngân hàng TP bank chi nhánh HCM</t>
  </si>
  <si>
    <t>mt1001.1998@gmail.com</t>
  </si>
  <si>
    <t>0978231198 + sacombank</t>
  </si>
  <si>
    <t>Nguyễn Văn Đại</t>
  </si>
  <si>
    <t>Cán bộ QA/QC/QS</t>
  </si>
  <si>
    <t>Mai Võ Ngọc Vương</t>
  </si>
  <si>
    <t>Cán bộ MEP</t>
  </si>
  <si>
    <t>T05/2025</t>
  </si>
  <si>
    <t>T06/2025</t>
  </si>
  <si>
    <t>116 đường số 10, Khu Dân Cư ấp 5 phong phú bình chánh</t>
  </si>
  <si>
    <t>Đại Bình, Quế Trung, Nông Sơn, Quảng Nam</t>
  </si>
  <si>
    <t>chưa nộp hồ sơ, nghỉ từ 19/06/2025, lý do không phù hợp</t>
  </si>
  <si>
    <t>Lê Văn Toàn</t>
  </si>
  <si>
    <t>không thử việc, nghỉ từ 21/06/2025, lý do: không phù hợp</t>
  </si>
  <si>
    <t>Thái Văn Trị</t>
  </si>
  <si>
    <t>Trần Tuấn Tú</t>
  </si>
  <si>
    <t>Lê Anh Hào</t>
  </si>
  <si>
    <t>Trần Vĩnh Trung</t>
  </si>
  <si>
    <t>Cán bộ shop drawing</t>
  </si>
  <si>
    <t>02/06/2025</t>
  </si>
  <si>
    <t>nghỉ từ 15/07/2025, không phù hợp môi trường công ty</t>
  </si>
  <si>
    <t>ký hđ tháng 12/2025</t>
  </si>
  <si>
    <t>nghỉ từ 15/07/2025, lý do: không phù hợp</t>
  </si>
  <si>
    <t>Tổ 1, KP Liên Trì 1, Phường 9, Tuy Hòa, Phú Yên</t>
  </si>
  <si>
    <t>T07/2025</t>
  </si>
  <si>
    <t>Huỳnh Anh Hào</t>
  </si>
  <si>
    <t>Nguyễn Hữu Tài</t>
  </si>
  <si>
    <t>58/66 Nguyễn Văn Tạo ấp 15, xã Hiệp Phước, thành phố Hồ Chí Minh</t>
  </si>
  <si>
    <t>T08/2025</t>
  </si>
  <si>
    <t>035096003367</t>
  </si>
  <si>
    <t>Phan Ngọc Oanh</t>
  </si>
  <si>
    <t>Bùi Thị Xuân</t>
  </si>
  <si>
    <r>
      <t xml:space="preserve">DANH SÁCH NHẬN BÁNH TRUNG THU 2025
</t>
    </r>
    <r>
      <rPr>
        <b/>
        <sz val="15"/>
        <color rgb="FF000000"/>
        <rFont val="Arial"/>
        <family val="2"/>
      </rPr>
      <t>(BAO GỒM CHÍNH THỨC +  THỬ VIỆC)</t>
    </r>
  </si>
  <si>
    <t>Hải (thuế)</t>
  </si>
  <si>
    <t>30/3/6 đường 45, khu phố 7, phường Hiệp Bình thành phố Hồ Chí Minh</t>
  </si>
  <si>
    <t>nguyễn trần bích trâm</t>
  </si>
  <si>
    <t>093 4071701</t>
  </si>
  <si>
    <t>dainguyen901@gmail.com.vn</t>
  </si>
  <si>
    <t>19037975088016 Nguyen Van Dai techcombank chi nhanh phan đăng lưu</t>
  </si>
  <si>
    <t>0934151296</t>
  </si>
  <si>
    <t>052090007680</t>
  </si>
  <si>
    <t>Ngãi An, Cát Khánh ,Phù Cát, Bình Định</t>
  </si>
  <si>
    <t>107/85 TCH 35, KP14, Phường Tân Chánh Hiệp, Quận 12, TP.HCM</t>
  </si>
  <si>
    <t>PHẠM THỊ MƠ</t>
  </si>
  <si>
    <t>0935447479</t>
  </si>
  <si>
    <t>0981815745</t>
  </si>
  <si>
    <t>Xây dựng Dân dụng &amp; Công nghiệp</t>
  </si>
  <si>
    <t>Số tài khoản:1800784625.BIDV; Tài khoản ACB: 235985109 Thái Văn Trị</t>
  </si>
  <si>
    <t>089095019040</t>
  </si>
  <si>
    <t>73/5/1 Đình Phong Phú , Tp.HCM</t>
  </si>
  <si>
    <t>Trần Quốc Tuấn</t>
  </si>
  <si>
    <t>0981683102</t>
  </si>
  <si>
    <t>0773070924</t>
  </si>
  <si>
    <t>kỹ thuật nhiệt</t>
  </si>
  <si>
    <t>tttu01thanhphu@gmail.com</t>
  </si>
  <si>
    <t>7211611774 BIDV</t>
  </si>
  <si>
    <t>499A Bình Thành, Bình Hưng Hòa B, Bình Tân, TP. Hồ Chí Minh</t>
  </si>
  <si>
    <t>Nguyễn Thị Tú Trinh</t>
  </si>
  <si>
    <t>0902707941</t>
  </si>
  <si>
    <t>0913878432</t>
  </si>
  <si>
    <t>huynhanhhao78@gmail.com</t>
  </si>
  <si>
    <t>Số tài khoản: 1904206372520 - Ngân hàng Agribank - chi nhánh Miền Đông</t>
  </si>
  <si>
    <t>052078004161</t>
  </si>
  <si>
    <t>042093004620</t>
  </si>
  <si>
    <t>Thôn Mỹ Hòa, Xã Phù Lưu, Huyện Lộc Hà, Tỉnh Hà Tĩnh</t>
  </si>
  <si>
    <t>146/ 8B đường Lã Xuân Oai, Tp. Hồ Chí Minh</t>
  </si>
  <si>
    <t>Nguyễn Thị Hồng.</t>
  </si>
  <si>
    <t>0902365046</t>
  </si>
  <si>
    <t>0932055236</t>
  </si>
  <si>
    <t>Kỹ sư xây dựng</t>
  </si>
  <si>
    <t>Kỹ thuật xây dựng công trình giao thông</t>
  </si>
  <si>
    <t>quangoanh.xd@gmail.com</t>
  </si>
  <si>
    <t>3190138046 - Ngân hàng BIDV- Chi nhánh Đông Sài Gòn</t>
  </si>
  <si>
    <t>035303000468</t>
  </si>
  <si>
    <t>Bùi Văn Tuyên</t>
  </si>
  <si>
    <t>0976384899</t>
  </si>
  <si>
    <t>0364133349</t>
  </si>
  <si>
    <t>Ngôn ngữ anh</t>
  </si>
  <si>
    <t>bxuan.work@gmail.com</t>
  </si>
  <si>
    <t xml:space="preserve">19037373513018 - Techcombank </t>
  </si>
  <si>
    <t>Thaivantrixd@gmail.com</t>
  </si>
  <si>
    <t>Trần Thị Thi</t>
  </si>
  <si>
    <t>TP. Hành chính - Nhân sự</t>
  </si>
  <si>
    <t>T09/2025</t>
  </si>
  <si>
    <t>NĂM</t>
  </si>
  <si>
    <t>SỐ LƯỢNG</t>
  </si>
  <si>
    <t>QUẢN LÝ</t>
  </si>
  <si>
    <t>NHÂN VIÊN</t>
  </si>
  <si>
    <t>Mã số</t>
  </si>
  <si>
    <t>Ngày ký HĐTV</t>
  </si>
  <si>
    <t>Ngày kết thúc HĐTV</t>
  </si>
  <si>
    <t>Ngày ký HĐLĐ XĐTH Lần 1</t>
  </si>
  <si>
    <t>Ngày kết thúc HĐLĐ XĐTH Lần 1</t>
  </si>
  <si>
    <t>Ngày ký HĐLĐ XĐTH Lần 2</t>
  </si>
  <si>
    <t>Ngày kết thúc HĐLĐ XĐTH Lần 2</t>
  </si>
  <si>
    <t xml:space="preserve">Ngày ký HĐLĐ KXĐTH </t>
  </si>
  <si>
    <t>Địa chỉ thường trú
 (ghi theo CCCD)</t>
  </si>
  <si>
    <t>Trạng thái HĐ</t>
  </si>
  <si>
    <t>CT</t>
  </si>
  <si>
    <t>TV</t>
  </si>
  <si>
    <t>Địa chỉ thường trú (ghi theo trên CMND/CCCD)</t>
  </si>
  <si>
    <t>Tình trạng hôn nhân</t>
  </si>
  <si>
    <t>Mức đóng BHXH Từ ngày …./.../….</t>
  </si>
  <si>
    <t>Năm</t>
  </si>
  <si>
    <t>MSNV</t>
  </si>
  <si>
    <t>Từ ngày</t>
  </si>
  <si>
    <t>Đến ngày</t>
  </si>
  <si>
    <t>Mức lương</t>
  </si>
  <si>
    <t>Ngày hiệu lực</t>
  </si>
  <si>
    <t>LẤY SỐ HỢP ĐỒNG THỬ VIỆC</t>
  </si>
  <si>
    <t>LẤY SỐ HỢP ĐỒNG LAO ĐỘNG</t>
  </si>
  <si>
    <t>Cấp bậc</t>
  </si>
  <si>
    <t>QL Bậc 1</t>
  </si>
  <si>
    <t>QL Bậc 2</t>
  </si>
  <si>
    <t>QL Bậc 3</t>
  </si>
  <si>
    <t>QL Bậc 4</t>
  </si>
  <si>
    <t>Nhân viên Hành chính nhân sự</t>
  </si>
  <si>
    <t>TP.Hành Chính Nhân Sự</t>
  </si>
  <si>
    <t>DANH MỤC HỢP ĐỒNG LAO ĐỘNG</t>
  </si>
  <si>
    <t>Số HĐLĐ</t>
  </si>
  <si>
    <t>Loại HĐLĐ</t>
  </si>
  <si>
    <t>Tên Sheet</t>
  </si>
  <si>
    <t xml:space="preserve">Hướng dẫn </t>
  </si>
  <si>
    <t>Master List</t>
  </si>
  <si>
    <t>Nghỉ việc</t>
  </si>
  <si>
    <t>Theo dõi diêng HĐTV</t>
  </si>
  <si>
    <t>Lấy số HĐLĐ</t>
  </si>
  <si>
    <t>Danh mục HĐLĐ</t>
  </si>
  <si>
    <t>Mức lương gross Thử việc</t>
  </si>
  <si>
    <t xml:space="preserve">Mức lương gross Chính thức </t>
  </si>
  <si>
    <t>Phụ cấp (nếu có)</t>
  </si>
  <si>
    <t>Mức lương điều chỉnh tăng lần 1</t>
  </si>
  <si>
    <t>Mức lương điều chỉnh tăng lần 2</t>
  </si>
  <si>
    <t>Mức lương điều chỉnh tăng lần 3</t>
  </si>
  <si>
    <t>Mức lương gross hiện tại</t>
  </si>
  <si>
    <t>Nhập đầy đủ thông tin các cột</t>
  </si>
  <si>
    <t>Cắt danh sách nghỉ việc từ sheet Master List và nhập Ngày nghỉ việc + Lý do nghỉ việc</t>
  </si>
  <si>
    <t>Điền đầy đủ các cột</t>
  </si>
  <si>
    <t>Thống kê HĐLĐ từng năm</t>
  </si>
  <si>
    <t>MS00001</t>
  </si>
  <si>
    <t>MS00002</t>
  </si>
  <si>
    <t>MS00003</t>
  </si>
  <si>
    <t>MS00064</t>
  </si>
  <si>
    <t>MS00150</t>
  </si>
  <si>
    <t>MS00027</t>
  </si>
  <si>
    <t>MS00028</t>
  </si>
  <si>
    <t>MS00133</t>
  </si>
  <si>
    <t>MS00031</t>
  </si>
  <si>
    <t>MS00021</t>
  </si>
  <si>
    <t>MS00063</t>
  </si>
  <si>
    <t>MS00136</t>
  </si>
  <si>
    <t>MS00023</t>
  </si>
  <si>
    <t>MS00126</t>
  </si>
  <si>
    <t xml:space="preserve">MS00017 </t>
  </si>
  <si>
    <t>MS00068</t>
  </si>
  <si>
    <t>MS00146</t>
  </si>
  <si>
    <t>MS00128</t>
  </si>
  <si>
    <t>MS00008</t>
  </si>
  <si>
    <t>MS00010</t>
  </si>
  <si>
    <t>MS00019</t>
  </si>
  <si>
    <t>MS00142</t>
  </si>
  <si>
    <t>MS00033</t>
  </si>
  <si>
    <t>MS00139</t>
  </si>
  <si>
    <t>MS00014</t>
  </si>
  <si>
    <t>MS00140</t>
  </si>
  <si>
    <t>MS00138</t>
  </si>
  <si>
    <t>MS00007</t>
  </si>
  <si>
    <t>MS00006</t>
  </si>
  <si>
    <t>MS00004</t>
  </si>
  <si>
    <t>MS00060</t>
  </si>
  <si>
    <t>MS00040</t>
  </si>
  <si>
    <t>MS00083</t>
  </si>
  <si>
    <t>MS00050</t>
  </si>
  <si>
    <t>MS00041</t>
  </si>
  <si>
    <t>MS00036</t>
  </si>
  <si>
    <t>MS00100</t>
  </si>
  <si>
    <t>MS00145</t>
  </si>
  <si>
    <t>MS00149</t>
  </si>
  <si>
    <t>MS00098</t>
  </si>
  <si>
    <t>MS00081</t>
  </si>
  <si>
    <t>MS00147</t>
  </si>
  <si>
    <t>MS00135</t>
  </si>
  <si>
    <t>MS00015</t>
  </si>
  <si>
    <t>MS00151</t>
  </si>
  <si>
    <t>MS00052</t>
  </si>
  <si>
    <t>MS00154</t>
  </si>
  <si>
    <t>MS00144</t>
  </si>
  <si>
    <t>MS00066</t>
  </si>
  <si>
    <t>MS00109</t>
  </si>
  <si>
    <t>MS00155</t>
  </si>
  <si>
    <t>MS00099</t>
  </si>
  <si>
    <t>MS00157</t>
  </si>
  <si>
    <t>MS00129</t>
  </si>
  <si>
    <t>MS00153</t>
  </si>
  <si>
    <t>MS00141</t>
  </si>
  <si>
    <t>MS00043</t>
  </si>
  <si>
    <t>MS00044</t>
  </si>
  <si>
    <t>MS00038</t>
  </si>
  <si>
    <t>MS00078</t>
  </si>
  <si>
    <t>MS00049</t>
  </si>
  <si>
    <t>MS00054</t>
  </si>
  <si>
    <t>MS00105</t>
  </si>
  <si>
    <t>MS00059</t>
  </si>
  <si>
    <t>MS00016</t>
  </si>
  <si>
    <t>MS00080</t>
  </si>
  <si>
    <t>MS00065</t>
  </si>
  <si>
    <t>MS00070</t>
  </si>
  <si>
    <t>MS00158</t>
  </si>
  <si>
    <t>MS00159</t>
  </si>
  <si>
    <t>Lấy số HĐTV và mã nhân viên cho nhân sự mới</t>
  </si>
  <si>
    <t>Điền đầy đủ các cột, mã số nhân viên lấy số tiếp theo</t>
  </si>
  <si>
    <t>Thạc sĩ</t>
  </si>
  <si>
    <t>xin nghỉ, không phù hợp với công ty</t>
  </si>
  <si>
    <t>xin nghỉ, kinh doanh riêng</t>
  </si>
  <si>
    <t>xin nghỉ, về quê</t>
  </si>
  <si>
    <t>xin nghỉ, ra phú quốc làm</t>
  </si>
  <si>
    <t>xin nghỉ, năng lực không được đánh giá cao (CHT công trình Kho tài liệu Quận 1)</t>
  </si>
  <si>
    <t>xin nghỉ, qua Bcons làm</t>
  </si>
  <si>
    <t>xin nghỉ, mở kinh doanh riêng</t>
  </si>
  <si>
    <t>Tài Chính - Kế Toán</t>
  </si>
  <si>
    <t>Vật Tư - Thiết Bị</t>
  </si>
  <si>
    <t>nghỉ trong thời gian thử việc, lý do: mất đột ngột khi đang ngủ tại VP BCH TL7</t>
  </si>
  <si>
    <t>Tài chính - Kế toán</t>
  </si>
  <si>
    <t>thử việc không đạt yêu cầu, nhân viên xin nghỉ</t>
  </si>
  <si>
    <t>20/10/2025</t>
  </si>
  <si>
    <t>việc gia đình</t>
  </si>
  <si>
    <t>113/21/21 Võ Duy Ninh, khu phố 28, phường Thạnh Mỹ Tây, Tp.HCM</t>
  </si>
  <si>
    <t>T10/2025</t>
  </si>
  <si>
    <t>46B đường số 2, khu phó 6, phường Tân Phú, thành phố Thủ Đức, Tp. HCM</t>
  </si>
  <si>
    <t>113/21/21 Võ Duy Ninh, khu phố 28, phường Thạnh Mỹ Tây, Tp. HCM</t>
  </si>
  <si>
    <t xml:space="preserve">Xóm Tân Mỹ, Thôn Trà Lương, Xã Phù Mỹ Tây, tỉnh Gia Lai </t>
  </si>
  <si>
    <t>Chủ tịch Hội đồng quản trị</t>
  </si>
  <si>
    <t>Trợ lý Chủ tịch HĐQT</t>
  </si>
  <si>
    <t>Thành viên hội đồng quản trị</t>
  </si>
  <si>
    <t>Hồ Tấn Thanh</t>
  </si>
  <si>
    <t>Trần Thành Tâm</t>
  </si>
  <si>
    <t xml:space="preserve">Ban Tổng Giám đốc </t>
  </si>
  <si>
    <t>MS00160</t>
  </si>
  <si>
    <t>MS00161</t>
  </si>
  <si>
    <t xml:space="preserve">phường An Lạc </t>
  </si>
  <si>
    <t>Chỉ huy trưởng cầu đường</t>
  </si>
  <si>
    <t>TBP nhôm kính</t>
  </si>
  <si>
    <t>Lê Nĩ Dung</t>
  </si>
  <si>
    <t>Ấp 9, xã Cái Ngang, tỉnh Vĩnh Long</t>
  </si>
  <si>
    <t>03/HĐLĐ/2026/TP</t>
  </si>
  <si>
    <t>079087035415</t>
  </si>
  <si>
    <t>210 Lô L, C/c Nguyễn Kim, Phường 7, quận 10. Tp. HCM</t>
  </si>
  <si>
    <t>211 Lô L, C/c Nguyễn Kim, Phường 7, quận 10. Tp. HCM</t>
  </si>
  <si>
    <t>0933567973</t>
  </si>
  <si>
    <t>94/3/3 Chu Văn An, khu phố 3, Phường Rạch Giá, Tỉnh An Giang</t>
  </si>
  <si>
    <t>Xuân An, Xã Đông Sơn, Tỉnh Quảng Ngãi</t>
  </si>
  <si>
    <t>x(2 năm)</t>
  </si>
  <si>
    <t>Xin nghỉ do công ty hết việc</t>
  </si>
  <si>
    <t>Số HĐLĐ mới nhất</t>
  </si>
  <si>
    <t>05/HĐLĐ/2026/TP</t>
  </si>
  <si>
    <t>T04/2026</t>
  </si>
  <si>
    <t>7911230172</t>
  </si>
  <si>
    <t xml:space="preserve">47 Tổ 3, Ấp 6, Xã Cần Đước, tỉnh Tây Ninh </t>
  </si>
  <si>
    <t>50/63 Nguyễn Quý Yêm, phường An Lạc , Thành phố Hồ Chí Minh</t>
  </si>
  <si>
    <t>080200001883</t>
  </si>
  <si>
    <t>7934349958</t>
  </si>
  <si>
    <t>MS00162</t>
  </si>
  <si>
    <t>Phạm Thanh Tuấn</t>
  </si>
  <si>
    <t>036077036404</t>
  </si>
  <si>
    <t>Vân Ninh Thọ Yên Bình, Ý Yên, Nam Định</t>
  </si>
  <si>
    <t>Xã Bình Hưng, Huyện Bình Chánh, Tp. HCM</t>
  </si>
  <si>
    <t>Chỉ huy phó MEP</t>
  </si>
  <si>
    <t>0933976205</t>
  </si>
  <si>
    <t>0969698114</t>
  </si>
  <si>
    <t>xin nghỉ có việc gia đình</t>
  </si>
  <si>
    <t>MS00163</t>
  </si>
  <si>
    <t>Đinh Văn Trọng</t>
  </si>
  <si>
    <t>Phó Tổng Giám đốc K. KTTC</t>
  </si>
  <si>
    <t>0913333332</t>
  </si>
  <si>
    <t>0919894017</t>
  </si>
  <si>
    <t>66/7E Phạm Văn Chiêu – Phường 9 - Quận Gò Vấp</t>
  </si>
  <si>
    <t>66/7E Phạm Văn Chiêu</t>
  </si>
  <si>
    <t>Phường 9</t>
  </si>
  <si>
    <t>Quản trị kinh doanh</t>
  </si>
  <si>
    <t>T11/2025</t>
  </si>
  <si>
    <t>19/HĐLĐ/2025/TP</t>
  </si>
  <si>
    <t>ĐỨC ANH</t>
  </si>
  <si>
    <t xml:space="preserve">Lê Hải Long </t>
  </si>
  <si>
    <t>Lê Hải Long</t>
  </si>
  <si>
    <t>MS00164</t>
  </si>
  <si>
    <t>HC</t>
  </si>
  <si>
    <t>052190009936</t>
  </si>
  <si>
    <t>phường Bình Trị Đông</t>
  </si>
  <si>
    <t>phường Thạnh Mỹ Tây</t>
  </si>
  <si>
    <t>363/38/33/2 Đất Mới, khu phố 22, phường Bình Trị Đông, Thành phố Hồ Chí Minh</t>
  </si>
  <si>
    <t>363/38/33/2 Đất Mới khu phố 22</t>
  </si>
  <si>
    <t>036079001561</t>
  </si>
  <si>
    <t>Vĩnh Trung, Vĩnh Trạch, Thoại Sơn, An Giang</t>
  </si>
  <si>
    <t>Phạm Phú Hải</t>
  </si>
  <si>
    <t>MS00165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</si>
</sst>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/d/yyyy;@"/>
    <numFmt numFmtId="165" formatCode="_-* #,##0.00\ _₫_-;\-* #,##0.00\ _₫_-;_-* &quot;-&quot;??\ _₫_-;_-@_-"/>
    <numFmt numFmtId="166" formatCode="_-* #,##0\ _₫_-;\-* #,##0\ _₫_-;_-* &quot;-&quot;??\ _₫_-;_-@_-"/>
    <numFmt numFmtId="167" formatCode="_(* #,##0_);_(* \(#,##0\);_(* &quot;-&quot;??_);_(@_)"/>
  </numFmts>
  <fonts count="51" x14ac:knownFonts="1">
    <font>
      <sz val="10"/>
      <color rgb="FF000000"/>
      <name val="Arial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u/>
      <sz val="11"/>
      <color indexed="12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6"/>
      <color theme="1"/>
      <name val="Times New Roman"/>
      <family val="1"/>
    </font>
    <font>
      <b/>
      <sz val="15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rial"/>
      <family val="2"/>
      <scheme val="minor"/>
    </font>
    <font>
      <b/>
      <sz val="20"/>
      <color rgb="FF000000"/>
      <name val="Arial"/>
      <family val="2"/>
    </font>
    <font>
      <b/>
      <sz val="20"/>
      <name val="Arial"/>
      <family val="2"/>
    </font>
    <font>
      <sz val="20"/>
      <color rgb="FF000000"/>
      <name val="Arial"/>
      <family val="2"/>
    </font>
    <font>
      <sz val="20"/>
      <color theme="1"/>
      <name val="Arial"/>
      <family val="2"/>
    </font>
    <font>
      <b/>
      <sz val="18"/>
      <color rgb="FF000000"/>
      <name val="Arial"/>
      <family val="2"/>
    </font>
    <font>
      <b/>
      <sz val="15"/>
      <color rgb="FF00000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2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u/>
      <sz val="10"/>
      <color indexed="12"/>
      <name val="Times New Roman"/>
      <family val="1"/>
    </font>
    <font>
      <u/>
      <sz val="10"/>
      <name val="Times New Roman"/>
      <family val="1"/>
    </font>
    <font>
      <sz val="10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43" fontId="5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8" fillId="0" borderId="0" applyProtection="0"/>
    <xf numFmtId="0" fontId="2" fillId="0" borderId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9" fontId="30" fillId="0" borderId="0" applyFont="0" applyFill="0" applyBorder="0" applyAlignment="0" applyProtection="0"/>
  </cellStyleXfs>
  <cellXfs count="414">
    <xf numFmtId="0" fontId="0" fillId="0" borderId="0" xfId="0"/>
    <xf numFmtId="0" fontId="0" fillId="2" borderId="0" xfId="0" applyFill="1"/>
    <xf numFmtId="14" fontId="0" fillId="0" borderId="0" xfId="0" applyNumberFormat="1"/>
    <xf numFmtId="0" fontId="1" fillId="0" borderId="0" xfId="6"/>
    <xf numFmtId="0" fontId="12" fillId="0" borderId="0" xfId="6" applyFont="1" applyAlignment="1">
      <alignment vertical="center" wrapText="1"/>
    </xf>
    <xf numFmtId="0" fontId="11" fillId="0" borderId="0" xfId="6" applyFont="1" applyAlignment="1">
      <alignment horizontal="center" vertical="center"/>
    </xf>
    <xf numFmtId="0" fontId="12" fillId="0" borderId="0" xfId="6" applyFont="1" applyAlignment="1">
      <alignment vertical="center"/>
    </xf>
    <xf numFmtId="0" fontId="12" fillId="0" borderId="0" xfId="6" applyFont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20" fillId="2" borderId="1" xfId="0" applyFont="1" applyFill="1" applyBorder="1" applyAlignment="1">
      <alignment horizontal="left"/>
    </xf>
    <xf numFmtId="14" fontId="21" fillId="0" borderId="1" xfId="4" applyNumberFormat="1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/>
    </xf>
    <xf numFmtId="0" fontId="21" fillId="2" borderId="1" xfId="4" applyFont="1" applyFill="1" applyBorder="1" applyAlignment="1">
      <alignment horizontal="left" vertical="center"/>
    </xf>
    <xf numFmtId="14" fontId="20" fillId="0" borderId="1" xfId="0" applyNumberFormat="1" applyFont="1" applyBorder="1"/>
    <xf numFmtId="0" fontId="21" fillId="2" borderId="1" xfId="4" applyFont="1" applyFill="1" applyBorder="1"/>
    <xf numFmtId="14" fontId="22" fillId="0" borderId="1" xfId="4" applyNumberFormat="1" applyFont="1" applyBorder="1" applyAlignment="1">
      <alignment horizontal="center"/>
    </xf>
    <xf numFmtId="14" fontId="21" fillId="0" borderId="1" xfId="4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wrapText="1"/>
    </xf>
    <xf numFmtId="14" fontId="12" fillId="0" borderId="0" xfId="6" applyNumberFormat="1" applyFont="1" applyAlignment="1">
      <alignment horizontal="center" vertical="center" wrapText="1"/>
    </xf>
    <xf numFmtId="14" fontId="1" fillId="0" borderId="0" xfId="6" applyNumberFormat="1"/>
    <xf numFmtId="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wrapText="1"/>
    </xf>
    <xf numFmtId="14" fontId="8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3" fillId="3" borderId="5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 wrapText="1"/>
    </xf>
    <xf numFmtId="0" fontId="25" fillId="0" borderId="0" xfId="0" applyFont="1"/>
    <xf numFmtId="1" fontId="25" fillId="0" borderId="1" xfId="0" applyNumberFormat="1" applyFont="1" applyBorder="1" applyAlignment="1">
      <alignment horizontal="center" vertical="center"/>
    </xf>
    <xf numFmtId="0" fontId="26" fillId="5" borderId="1" xfId="0" applyFont="1" applyFill="1" applyBorder="1"/>
    <xf numFmtId="0" fontId="25" fillId="5" borderId="1" xfId="0" applyFont="1" applyFill="1" applyBorder="1"/>
    <xf numFmtId="0" fontId="25" fillId="5" borderId="1" xfId="0" applyFont="1" applyFill="1" applyBorder="1" applyAlignment="1">
      <alignment wrapText="1"/>
    </xf>
    <xf numFmtId="1" fontId="25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vertical="center"/>
    </xf>
    <xf numFmtId="14" fontId="4" fillId="2" borderId="1" xfId="0" applyNumberFormat="1" applyFont="1" applyFill="1" applyBorder="1" applyAlignment="1">
      <alignment horizontal="center"/>
    </xf>
    <xf numFmtId="0" fontId="5" fillId="2" borderId="1" xfId="0" applyFont="1" applyFill="1" applyBorder="1"/>
    <xf numFmtId="14" fontId="4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4" fillId="2" borderId="1" xfId="0" applyFont="1" applyFill="1" applyBorder="1" applyAlignment="1">
      <alignment horizontal="left"/>
    </xf>
    <xf numFmtId="167" fontId="5" fillId="2" borderId="1" xfId="1" applyNumberFormat="1" applyFont="1" applyFill="1" applyBorder="1"/>
    <xf numFmtId="0" fontId="8" fillId="2" borderId="1" xfId="0" applyFont="1" applyFill="1" applyBorder="1"/>
    <xf numFmtId="0" fontId="8" fillId="2" borderId="0" xfId="0" applyFont="1" applyFill="1"/>
    <xf numFmtId="14" fontId="5" fillId="2" borderId="1" xfId="0" quotePrefix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/>
    </xf>
    <xf numFmtId="0" fontId="5" fillId="2" borderId="0" xfId="0" applyFont="1" applyFill="1"/>
    <xf numFmtId="14" fontId="8" fillId="2" borderId="0" xfId="0" applyNumberFormat="1" applyFont="1" applyFill="1" applyAlignment="1">
      <alignment horizontal="center"/>
    </xf>
    <xf numFmtId="49" fontId="5" fillId="2" borderId="1" xfId="0" quotePrefix="1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31" fillId="0" borderId="1" xfId="0" applyFont="1" applyBorder="1"/>
    <xf numFmtId="0" fontId="31" fillId="0" borderId="1" xfId="0" applyFont="1" applyBorder="1" applyAlignment="1">
      <alignment horizontal="center"/>
    </xf>
    <xf numFmtId="0" fontId="31" fillId="0" borderId="0" xfId="0" applyFont="1"/>
    <xf numFmtId="0" fontId="32" fillId="0" borderId="1" xfId="0" applyFont="1" applyBorder="1"/>
    <xf numFmtId="0" fontId="32" fillId="0" borderId="0" xfId="0" applyFont="1"/>
    <xf numFmtId="0" fontId="32" fillId="0" borderId="1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7" fillId="2" borderId="0" xfId="0" applyFont="1" applyFill="1" applyAlignment="1">
      <alignment horizontal="left" vertical="center"/>
    </xf>
    <xf numFmtId="9" fontId="31" fillId="0" borderId="1" xfId="8" applyFont="1" applyBorder="1"/>
    <xf numFmtId="9" fontId="32" fillId="0" borderId="1" xfId="8" applyFont="1" applyBorder="1"/>
    <xf numFmtId="0" fontId="5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5" fillId="0" borderId="0" xfId="0" applyFont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vertical="center"/>
    </xf>
    <xf numFmtId="14" fontId="5" fillId="2" borderId="0" xfId="0" applyNumberFormat="1" applyFont="1" applyFill="1"/>
    <xf numFmtId="2" fontId="5" fillId="2" borderId="0" xfId="0" applyNumberFormat="1" applyFont="1" applyFill="1"/>
    <xf numFmtId="0" fontId="5" fillId="2" borderId="0" xfId="0" applyFont="1" applyFill="1" applyAlignment="1">
      <alignment horizontal="right"/>
    </xf>
    <xf numFmtId="49" fontId="5" fillId="2" borderId="0" xfId="0" applyNumberFormat="1" applyFont="1" applyFill="1"/>
    <xf numFmtId="49" fontId="5" fillId="3" borderId="0" xfId="0" applyNumberFormat="1" applyFont="1" applyFill="1"/>
    <xf numFmtId="49" fontId="5" fillId="2" borderId="0" xfId="0" applyNumberFormat="1" applyFont="1" applyFill="1" applyAlignment="1">
      <alignment horizontal="center"/>
    </xf>
    <xf numFmtId="49" fontId="5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/>
    </xf>
    <xf numFmtId="14" fontId="5" fillId="2" borderId="0" xfId="0" applyNumberFormat="1" applyFont="1" applyFill="1" applyAlignment="1">
      <alignment horizontal="center"/>
    </xf>
    <xf numFmtId="167" fontId="5" fillId="2" borderId="0" xfId="1" applyNumberFormat="1" applyFont="1" applyFill="1" applyBorder="1"/>
    <xf numFmtId="0" fontId="33" fillId="0" borderId="0" xfId="0" applyFont="1"/>
    <xf numFmtId="0" fontId="34" fillId="7" borderId="5" xfId="0" applyFont="1" applyFill="1" applyBorder="1" applyAlignment="1">
      <alignment horizontal="center" vertical="center"/>
    </xf>
    <xf numFmtId="0" fontId="35" fillId="7" borderId="5" xfId="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/>
    </xf>
    <xf numFmtId="0" fontId="34" fillId="0" borderId="0" xfId="0" applyFont="1" applyAlignment="1">
      <alignment horizontal="center"/>
    </xf>
    <xf numFmtId="1" fontId="36" fillId="2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/>
    <xf numFmtId="0" fontId="36" fillId="2" borderId="1" xfId="0" applyFont="1" applyFill="1" applyBorder="1"/>
    <xf numFmtId="0" fontId="36" fillId="0" borderId="1" xfId="0" applyFont="1" applyBorder="1"/>
    <xf numFmtId="0" fontId="36" fillId="0" borderId="0" xfId="0" applyFont="1"/>
    <xf numFmtId="0" fontId="36" fillId="2" borderId="1" xfId="0" applyFont="1" applyFill="1" applyBorder="1" applyAlignment="1">
      <alignment wrapText="1"/>
    </xf>
    <xf numFmtId="0" fontId="37" fillId="7" borderId="5" xfId="0" applyFont="1" applyFill="1" applyBorder="1" applyAlignment="1">
      <alignment horizontal="center" vertical="center"/>
    </xf>
    <xf numFmtId="0" fontId="38" fillId="7" borderId="5" xfId="0" applyFont="1" applyFill="1" applyBorder="1" applyAlignment="1">
      <alignment horizontal="center" vertical="center" wrapText="1"/>
    </xf>
    <xf numFmtId="0" fontId="37" fillId="7" borderId="1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/>
    </xf>
    <xf numFmtId="0" fontId="37" fillId="0" borderId="0" xfId="0" applyFont="1" applyAlignment="1">
      <alignment horizontal="center"/>
    </xf>
    <xf numFmtId="1" fontId="39" fillId="2" borderId="1" xfId="0" applyNumberFormat="1" applyFont="1" applyFill="1" applyBorder="1" applyAlignment="1">
      <alignment horizontal="center" vertical="center"/>
    </xf>
    <xf numFmtId="0" fontId="40" fillId="2" borderId="1" xfId="0" applyFont="1" applyFill="1" applyBorder="1"/>
    <xf numFmtId="0" fontId="39" fillId="2" borderId="1" xfId="0" applyFont="1" applyFill="1" applyBorder="1"/>
    <xf numFmtId="0" fontId="39" fillId="0" borderId="1" xfId="0" applyFont="1" applyBorder="1"/>
    <xf numFmtId="0" fontId="39" fillId="0" borderId="0" xfId="0" applyFont="1"/>
    <xf numFmtId="0" fontId="39" fillId="2" borderId="1" xfId="0" applyFont="1" applyFill="1" applyBorder="1" applyAlignment="1">
      <alignment wrapText="1"/>
    </xf>
    <xf numFmtId="0" fontId="41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" xfId="0" applyFont="1" applyBorder="1"/>
    <xf numFmtId="0" fontId="9" fillId="0" borderId="0" xfId="0" applyFont="1"/>
    <xf numFmtId="0" fontId="6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1" fillId="5" borderId="1" xfId="0" applyFont="1" applyFill="1" applyBorder="1" applyAlignment="1">
      <alignment vertical="center"/>
    </xf>
    <xf numFmtId="0" fontId="41" fillId="5" borderId="1" xfId="0" applyFont="1" applyFill="1" applyBorder="1" applyAlignment="1">
      <alignment horizontal="center" vertical="center"/>
    </xf>
    <xf numFmtId="14" fontId="11" fillId="5" borderId="1" xfId="6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31" fillId="5" borderId="1" xfId="0" applyFont="1" applyFill="1" applyBorder="1"/>
    <xf numFmtId="0" fontId="43" fillId="0" borderId="0" xfId="4" applyFont="1"/>
    <xf numFmtId="0" fontId="43" fillId="0" borderId="0" xfId="4" applyFont="1" applyAlignment="1">
      <alignment horizontal="left"/>
    </xf>
    <xf numFmtId="14" fontId="43" fillId="0" borderId="0" xfId="4" applyNumberFormat="1" applyFont="1" applyAlignment="1">
      <alignment horizontal="center"/>
    </xf>
    <xf numFmtId="14" fontId="43" fillId="0" borderId="0" xfId="5" applyNumberFormat="1" applyFont="1" applyAlignment="1"/>
    <xf numFmtId="166" fontId="43" fillId="0" borderId="0" xfId="5" applyNumberFormat="1" applyFont="1" applyAlignment="1"/>
    <xf numFmtId="0" fontId="43" fillId="3" borderId="13" xfId="4" applyFont="1" applyFill="1" applyBorder="1" applyAlignment="1">
      <alignment horizontal="left" wrapText="1"/>
    </xf>
    <xf numFmtId="0" fontId="43" fillId="3" borderId="14" xfId="4" applyFont="1" applyFill="1" applyBorder="1" applyAlignment="1">
      <alignment horizontal="center"/>
    </xf>
    <xf numFmtId="0" fontId="43" fillId="5" borderId="1" xfId="4" applyFont="1" applyFill="1" applyBorder="1" applyAlignment="1">
      <alignment horizontal="center" vertical="center"/>
    </xf>
    <xf numFmtId="0" fontId="43" fillId="5" borderId="1" xfId="4" applyFont="1" applyFill="1" applyBorder="1" applyAlignment="1">
      <alignment horizontal="center" vertical="center" wrapText="1"/>
    </xf>
    <xf numFmtId="14" fontId="43" fillId="5" borderId="1" xfId="4" applyNumberFormat="1" applyFont="1" applyFill="1" applyBorder="1" applyAlignment="1">
      <alignment horizontal="center" vertical="center"/>
    </xf>
    <xf numFmtId="14" fontId="43" fillId="5" borderId="1" xfId="4" applyNumberFormat="1" applyFont="1" applyFill="1" applyBorder="1" applyAlignment="1">
      <alignment horizontal="center" vertical="center" wrapText="1"/>
    </xf>
    <xf numFmtId="14" fontId="43" fillId="5" borderId="1" xfId="5" applyNumberFormat="1" applyFont="1" applyFill="1" applyBorder="1" applyAlignment="1">
      <alignment horizontal="center" vertical="center" wrapText="1"/>
    </xf>
    <xf numFmtId="166" fontId="43" fillId="5" borderId="1" xfId="5" applyNumberFormat="1" applyFont="1" applyFill="1" applyBorder="1" applyAlignment="1">
      <alignment vertical="center"/>
    </xf>
    <xf numFmtId="166" fontId="43" fillId="5" borderId="1" xfId="5" applyNumberFormat="1" applyFont="1" applyFill="1" applyBorder="1" applyAlignment="1">
      <alignment vertical="center" wrapText="1"/>
    </xf>
    <xf numFmtId="0" fontId="43" fillId="0" borderId="1" xfId="4" applyFont="1" applyBorder="1" applyAlignment="1">
      <alignment horizontal="center" vertical="center"/>
    </xf>
    <xf numFmtId="0" fontId="43" fillId="0" borderId="1" xfId="4" applyFont="1" applyBorder="1" applyAlignment="1">
      <alignment horizontal="left" vertical="center"/>
    </xf>
    <xf numFmtId="49" fontId="43" fillId="0" borderId="1" xfId="4" applyNumberFormat="1" applyFont="1" applyBorder="1" applyAlignment="1">
      <alignment horizontal="center" vertical="center"/>
    </xf>
    <xf numFmtId="14" fontId="43" fillId="0" borderId="1" xfId="4" applyNumberFormat="1" applyFont="1" applyBorder="1" applyAlignment="1">
      <alignment horizontal="center" vertical="center"/>
    </xf>
    <xf numFmtId="14" fontId="43" fillId="0" borderId="1" xfId="5" applyNumberFormat="1" applyFont="1" applyBorder="1" applyAlignment="1">
      <alignment vertical="center"/>
    </xf>
    <xf numFmtId="166" fontId="43" fillId="0" borderId="1" xfId="5" applyNumberFormat="1" applyFont="1" applyBorder="1" applyAlignment="1">
      <alignment vertical="center"/>
    </xf>
    <xf numFmtId="0" fontId="43" fillId="0" borderId="1" xfId="4" applyFont="1" applyBorder="1" applyAlignment="1">
      <alignment horizontal="left"/>
    </xf>
    <xf numFmtId="14" fontId="43" fillId="0" borderId="1" xfId="4" applyNumberFormat="1" applyFont="1" applyBorder="1" applyAlignment="1">
      <alignment horizontal="center"/>
    </xf>
    <xf numFmtId="166" fontId="43" fillId="0" borderId="1" xfId="5" applyNumberFormat="1" applyFont="1" applyBorder="1" applyAlignment="1"/>
    <xf numFmtId="0" fontId="44" fillId="0" borderId="1" xfId="2" applyFont="1" applyBorder="1" applyAlignment="1" applyProtection="1">
      <alignment horizontal="center" vertical="center"/>
    </xf>
    <xf numFmtId="0" fontId="43" fillId="4" borderId="1" xfId="4" applyFont="1" applyFill="1" applyBorder="1" applyAlignment="1">
      <alignment horizontal="left" vertical="center"/>
    </xf>
    <xf numFmtId="14" fontId="43" fillId="4" borderId="1" xfId="4" applyNumberFormat="1" applyFont="1" applyFill="1" applyBorder="1" applyAlignment="1">
      <alignment horizontal="center" vertical="center"/>
    </xf>
    <xf numFmtId="14" fontId="43" fillId="4" borderId="1" xfId="5" applyNumberFormat="1" applyFont="1" applyFill="1" applyBorder="1" applyAlignment="1">
      <alignment vertical="center"/>
    </xf>
    <xf numFmtId="166" fontId="43" fillId="4" borderId="1" xfId="5" applyNumberFormat="1" applyFont="1" applyFill="1" applyBorder="1" applyAlignment="1">
      <alignment vertical="center"/>
    </xf>
    <xf numFmtId="0" fontId="43" fillId="0" borderId="1" xfId="4" applyFont="1" applyBorder="1"/>
    <xf numFmtId="14" fontId="43" fillId="0" borderId="1" xfId="5" applyNumberFormat="1" applyFont="1" applyBorder="1" applyAlignment="1"/>
    <xf numFmtId="0" fontId="43" fillId="3" borderId="1" xfId="4" applyFont="1" applyFill="1" applyBorder="1"/>
    <xf numFmtId="0" fontId="43" fillId="2" borderId="1" xfId="4" applyFont="1" applyFill="1" applyBorder="1" applyAlignment="1">
      <alignment horizontal="center" vertical="center" wrapText="1"/>
    </xf>
    <xf numFmtId="0" fontId="43" fillId="3" borderId="1" xfId="4" applyFont="1" applyFill="1" applyBorder="1" applyAlignment="1">
      <alignment horizontal="left"/>
    </xf>
    <xf numFmtId="14" fontId="43" fillId="3" borderId="1" xfId="4" applyNumberFormat="1" applyFont="1" applyFill="1" applyBorder="1" applyAlignment="1">
      <alignment horizontal="center"/>
    </xf>
    <xf numFmtId="14" fontId="43" fillId="3" borderId="1" xfId="5" applyNumberFormat="1" applyFont="1" applyFill="1" applyBorder="1" applyAlignment="1"/>
    <xf numFmtId="166" fontId="43" fillId="3" borderId="1" xfId="5" applyNumberFormat="1" applyFont="1" applyFill="1" applyBorder="1" applyAlignment="1"/>
    <xf numFmtId="0" fontId="43" fillId="0" borderId="1" xfId="4" applyFont="1" applyBorder="1" applyAlignment="1">
      <alignment horizontal="center" vertical="center" wrapText="1"/>
    </xf>
    <xf numFmtId="0" fontId="43" fillId="3" borderId="1" xfId="4" applyFont="1" applyFill="1" applyBorder="1" applyAlignment="1">
      <alignment horizontal="center" vertical="center" wrapText="1"/>
    </xf>
    <xf numFmtId="0" fontId="43" fillId="2" borderId="1" xfId="4" applyFont="1" applyFill="1" applyBorder="1" applyAlignment="1">
      <alignment horizontal="center" vertical="center"/>
    </xf>
    <xf numFmtId="0" fontId="43" fillId="0" borderId="1" xfId="4" applyFont="1" applyBorder="1" applyAlignment="1">
      <alignment vertical="center"/>
    </xf>
    <xf numFmtId="0" fontId="43" fillId="0" borderId="0" xfId="4" applyFont="1" applyAlignment="1">
      <alignment vertical="center"/>
    </xf>
    <xf numFmtId="0" fontId="43" fillId="2" borderId="0" xfId="4" applyFont="1" applyFill="1" applyAlignment="1">
      <alignment horizontal="center" vertical="center"/>
    </xf>
    <xf numFmtId="0" fontId="43" fillId="2" borderId="0" xfId="4" applyFont="1" applyFill="1"/>
    <xf numFmtId="0" fontId="43" fillId="2" borderId="0" xfId="4" applyFont="1" applyFill="1" applyAlignment="1">
      <alignment horizontal="left"/>
    </xf>
    <xf numFmtId="14" fontId="43" fillId="2" borderId="0" xfId="4" applyNumberFormat="1" applyFont="1" applyFill="1" applyAlignment="1">
      <alignment horizontal="center"/>
    </xf>
    <xf numFmtId="14" fontId="43" fillId="2" borderId="0" xfId="5" applyNumberFormat="1" applyFont="1" applyFill="1" applyAlignment="1"/>
    <xf numFmtId="166" fontId="43" fillId="2" borderId="0" xfId="5" applyNumberFormat="1" applyFont="1" applyFill="1" applyAlignment="1"/>
    <xf numFmtId="0" fontId="43" fillId="0" borderId="0" xfId="4" applyFont="1" applyAlignment="1">
      <alignment horizontal="center"/>
    </xf>
    <xf numFmtId="0" fontId="43" fillId="2" borderId="0" xfId="4" applyFont="1" applyFill="1" applyAlignment="1">
      <alignment horizontal="center"/>
    </xf>
    <xf numFmtId="0" fontId="31" fillId="5" borderId="1" xfId="0" applyFont="1" applyFill="1" applyBorder="1" applyAlignment="1">
      <alignment horizontal="center" vertical="center" wrapText="1"/>
    </xf>
    <xf numFmtId="0" fontId="45" fillId="5" borderId="1" xfId="0" applyFont="1" applyFill="1" applyBorder="1" applyAlignment="1">
      <alignment horizontal="center" vertical="center" wrapText="1"/>
    </xf>
    <xf numFmtId="0" fontId="45" fillId="5" borderId="1" xfId="0" applyFont="1" applyFill="1" applyBorder="1" applyAlignment="1">
      <alignment vertical="center"/>
    </xf>
    <xf numFmtId="14" fontId="45" fillId="5" borderId="1" xfId="0" applyNumberFormat="1" applyFont="1" applyFill="1" applyBorder="1" applyAlignment="1">
      <alignment horizontal="center" vertical="center"/>
    </xf>
    <xf numFmtId="2" fontId="45" fillId="5" borderId="1" xfId="0" applyNumberFormat="1" applyFont="1" applyFill="1" applyBorder="1" applyAlignment="1">
      <alignment horizontal="center" vertical="center" wrapText="1"/>
    </xf>
    <xf numFmtId="0" fontId="45" fillId="5" borderId="1" xfId="0" applyFont="1" applyFill="1" applyBorder="1" applyAlignment="1">
      <alignment horizontal="center" vertical="center"/>
    </xf>
    <xf numFmtId="49" fontId="45" fillId="5" borderId="1" xfId="0" applyNumberFormat="1" applyFont="1" applyFill="1" applyBorder="1" applyAlignment="1">
      <alignment horizontal="center" vertical="center"/>
    </xf>
    <xf numFmtId="49" fontId="45" fillId="5" borderId="1" xfId="0" applyNumberFormat="1" applyFont="1" applyFill="1" applyBorder="1" applyAlignment="1">
      <alignment vertical="center"/>
    </xf>
    <xf numFmtId="49" fontId="45" fillId="5" borderId="1" xfId="0" applyNumberFormat="1" applyFont="1" applyFill="1" applyBorder="1" applyAlignment="1">
      <alignment horizontal="center" vertical="center" wrapText="1"/>
    </xf>
    <xf numFmtId="14" fontId="31" fillId="5" borderId="1" xfId="0" applyNumberFormat="1" applyFont="1" applyFill="1" applyBorder="1" applyAlignment="1">
      <alignment horizontal="center" vertical="center" wrapText="1"/>
    </xf>
    <xf numFmtId="167" fontId="31" fillId="5" borderId="1" xfId="1" applyNumberFormat="1" applyFont="1" applyFill="1" applyBorder="1" applyAlignment="1">
      <alignment horizontal="center" vertical="center" wrapText="1"/>
    </xf>
    <xf numFmtId="1" fontId="32" fillId="2" borderId="1" xfId="0" applyNumberFormat="1" applyFont="1" applyFill="1" applyBorder="1" applyAlignment="1">
      <alignment horizontal="center" vertical="center"/>
    </xf>
    <xf numFmtId="0" fontId="46" fillId="2" borderId="1" xfId="0" applyFont="1" applyFill="1" applyBorder="1" applyAlignment="1">
      <alignment horizontal="left" vertical="center"/>
    </xf>
    <xf numFmtId="14" fontId="46" fillId="2" borderId="1" xfId="0" applyNumberFormat="1" applyFont="1" applyFill="1" applyBorder="1" applyAlignment="1">
      <alignment horizontal="right" vertical="center"/>
    </xf>
    <xf numFmtId="1" fontId="46" fillId="2" borderId="1" xfId="0" applyNumberFormat="1" applyFont="1" applyFill="1" applyBorder="1" applyAlignment="1">
      <alignment horizontal="center" vertical="center"/>
    </xf>
    <xf numFmtId="14" fontId="46" fillId="6" borderId="1" xfId="0" quotePrefix="1" applyNumberFormat="1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left" vertical="center"/>
    </xf>
    <xf numFmtId="49" fontId="46" fillId="2" borderId="1" xfId="0" applyNumberFormat="1" applyFont="1" applyFill="1" applyBorder="1" applyAlignment="1">
      <alignment horizontal="left" vertical="center"/>
    </xf>
    <xf numFmtId="49" fontId="46" fillId="2" borderId="1" xfId="0" applyNumberFormat="1" applyFont="1" applyFill="1" applyBorder="1" applyAlignment="1">
      <alignment horizontal="center" vertical="center"/>
    </xf>
    <xf numFmtId="49" fontId="46" fillId="2" borderId="1" xfId="0" quotePrefix="1" applyNumberFormat="1" applyFont="1" applyFill="1" applyBorder="1" applyAlignment="1">
      <alignment horizontal="left" vertical="center"/>
    </xf>
    <xf numFmtId="0" fontId="46" fillId="2" borderId="1" xfId="0" applyFont="1" applyFill="1" applyBorder="1" applyAlignment="1">
      <alignment vertical="center"/>
    </xf>
    <xf numFmtId="14" fontId="46" fillId="2" borderId="1" xfId="0" applyNumberFormat="1" applyFont="1" applyFill="1" applyBorder="1" applyAlignment="1">
      <alignment horizontal="center" vertical="center"/>
    </xf>
    <xf numFmtId="14" fontId="32" fillId="2" borderId="1" xfId="0" applyNumberFormat="1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49" fontId="46" fillId="2" borderId="1" xfId="0" quotePrefix="1" applyNumberFormat="1" applyFont="1" applyFill="1" applyBorder="1" applyAlignment="1">
      <alignment horizontal="center" vertical="center"/>
    </xf>
    <xf numFmtId="167" fontId="32" fillId="2" borderId="1" xfId="1" applyNumberFormat="1" applyFont="1" applyFill="1" applyBorder="1" applyAlignment="1">
      <alignment horizontal="left" vertical="center"/>
    </xf>
    <xf numFmtId="0" fontId="32" fillId="2" borderId="1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0" borderId="1" xfId="0" applyFont="1" applyBorder="1" applyAlignment="1">
      <alignment vertical="center"/>
    </xf>
    <xf numFmtId="0" fontId="47" fillId="2" borderId="1" xfId="0" applyFont="1" applyFill="1" applyBorder="1" applyAlignment="1">
      <alignment vertical="center"/>
    </xf>
    <xf numFmtId="14" fontId="47" fillId="2" borderId="1" xfId="0" applyNumberFormat="1" applyFont="1" applyFill="1" applyBorder="1" applyAlignment="1">
      <alignment vertical="center"/>
    </xf>
    <xf numFmtId="49" fontId="47" fillId="2" borderId="1" xfId="0" quotePrefix="1" applyNumberFormat="1" applyFont="1" applyFill="1" applyBorder="1" applyAlignment="1">
      <alignment vertical="center"/>
    </xf>
    <xf numFmtId="0" fontId="47" fillId="2" borderId="1" xfId="0" quotePrefix="1" applyFont="1" applyFill="1" applyBorder="1" applyAlignment="1">
      <alignment vertical="center"/>
    </xf>
    <xf numFmtId="49" fontId="32" fillId="2" borderId="1" xfId="0" applyNumberFormat="1" applyFont="1" applyFill="1" applyBorder="1" applyAlignment="1">
      <alignment horizontal="center" vertical="center"/>
    </xf>
    <xf numFmtId="49" fontId="47" fillId="2" borderId="1" xfId="0" quotePrefix="1" applyNumberFormat="1" applyFont="1" applyFill="1" applyBorder="1" applyAlignment="1">
      <alignment horizontal="left" vertical="center"/>
    </xf>
    <xf numFmtId="0" fontId="47" fillId="2" borderId="1" xfId="0" applyFont="1" applyFill="1" applyBorder="1" applyAlignment="1">
      <alignment horizontal="left" vertical="center"/>
    </xf>
    <xf numFmtId="14" fontId="47" fillId="2" borderId="1" xfId="0" applyNumberFormat="1" applyFont="1" applyFill="1" applyBorder="1" applyAlignment="1">
      <alignment horizontal="center" vertical="center"/>
    </xf>
    <xf numFmtId="49" fontId="47" fillId="2" borderId="1" xfId="0" quotePrefix="1" applyNumberFormat="1" applyFont="1" applyFill="1" applyBorder="1" applyAlignment="1">
      <alignment horizontal="center" vertical="center"/>
    </xf>
    <xf numFmtId="167" fontId="32" fillId="2" borderId="1" xfId="1" applyNumberFormat="1" applyFont="1" applyFill="1" applyBorder="1" applyAlignment="1">
      <alignment vertical="center"/>
    </xf>
    <xf numFmtId="0" fontId="32" fillId="2" borderId="1" xfId="0" applyFont="1" applyFill="1" applyBorder="1" applyAlignment="1">
      <alignment vertical="center"/>
    </xf>
    <xf numFmtId="0" fontId="32" fillId="2" borderId="0" xfId="0" applyFont="1" applyFill="1" applyAlignment="1">
      <alignment vertical="center"/>
    </xf>
    <xf numFmtId="49" fontId="47" fillId="2" borderId="1" xfId="0" applyNumberFormat="1" applyFont="1" applyFill="1" applyBorder="1" applyAlignment="1">
      <alignment horizontal="center" vertical="center"/>
    </xf>
    <xf numFmtId="0" fontId="32" fillId="2" borderId="0" xfId="0" applyFont="1" applyFill="1"/>
    <xf numFmtId="49" fontId="46" fillId="2" borderId="1" xfId="0" quotePrefix="1" applyNumberFormat="1" applyFont="1" applyFill="1" applyBorder="1" applyAlignment="1">
      <alignment horizontal="right" vertical="center"/>
    </xf>
    <xf numFmtId="14" fontId="46" fillId="2" borderId="1" xfId="0" quotePrefix="1" applyNumberFormat="1" applyFont="1" applyFill="1" applyBorder="1" applyAlignment="1">
      <alignment horizontal="right" vertical="center"/>
    </xf>
    <xf numFmtId="0" fontId="46" fillId="6" borderId="1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center"/>
    </xf>
    <xf numFmtId="49" fontId="32" fillId="2" borderId="0" xfId="0" applyNumberFormat="1" applyFont="1" applyFill="1"/>
    <xf numFmtId="49" fontId="32" fillId="2" borderId="0" xfId="0" applyNumberFormat="1" applyFont="1" applyFill="1" applyAlignment="1">
      <alignment horizontal="center"/>
    </xf>
    <xf numFmtId="0" fontId="32" fillId="2" borderId="0" xfId="0" applyFont="1" applyFill="1" applyAlignment="1">
      <alignment horizontal="left"/>
    </xf>
    <xf numFmtId="0" fontId="46" fillId="2" borderId="1" xfId="0" applyFont="1" applyFill="1" applyBorder="1" applyAlignment="1">
      <alignment horizontal="center" vertical="center"/>
    </xf>
    <xf numFmtId="0" fontId="46" fillId="0" borderId="1" xfId="6" applyFont="1" applyBorder="1" applyAlignment="1">
      <alignment horizontal="center" vertical="center"/>
    </xf>
    <xf numFmtId="49" fontId="47" fillId="2" borderId="1" xfId="0" applyNumberFormat="1" applyFont="1" applyFill="1" applyBorder="1" applyAlignment="1">
      <alignment horizontal="left" vertical="center"/>
    </xf>
    <xf numFmtId="0" fontId="48" fillId="2" borderId="1" xfId="2" applyFont="1" applyFill="1" applyBorder="1" applyAlignment="1" applyProtection="1">
      <alignment vertical="center"/>
    </xf>
    <xf numFmtId="0" fontId="47" fillId="2" borderId="1" xfId="0" quotePrefix="1" applyFont="1" applyFill="1" applyBorder="1" applyAlignment="1">
      <alignment horizontal="left" vertical="center"/>
    </xf>
    <xf numFmtId="0" fontId="46" fillId="0" borderId="1" xfId="6" quotePrefix="1" applyFont="1" applyBorder="1" applyAlignment="1">
      <alignment horizontal="center" vertical="center"/>
    </xf>
    <xf numFmtId="49" fontId="32" fillId="2" borderId="1" xfId="0" applyNumberFormat="1" applyFont="1" applyFill="1" applyBorder="1" applyAlignment="1">
      <alignment vertical="center"/>
    </xf>
    <xf numFmtId="49" fontId="47" fillId="2" borderId="1" xfId="0" applyNumberFormat="1" applyFont="1" applyFill="1" applyBorder="1" applyAlignment="1">
      <alignment vertical="center"/>
    </xf>
    <xf numFmtId="49" fontId="47" fillId="2" borderId="1" xfId="0" quotePrefix="1" applyNumberFormat="1" applyFont="1" applyFill="1" applyBorder="1" applyAlignment="1">
      <alignment horizontal="right" vertical="center"/>
    </xf>
    <xf numFmtId="3" fontId="47" fillId="2" borderId="1" xfId="0" applyNumberFormat="1" applyFont="1" applyFill="1" applyBorder="1" applyAlignment="1">
      <alignment vertical="center"/>
    </xf>
    <xf numFmtId="14" fontId="46" fillId="2" borderId="1" xfId="0" applyNumberFormat="1" applyFont="1" applyFill="1" applyBorder="1" applyAlignment="1">
      <alignment vertical="center"/>
    </xf>
    <xf numFmtId="49" fontId="46" fillId="2" borderId="1" xfId="0" quotePrefix="1" applyNumberFormat="1" applyFont="1" applyFill="1" applyBorder="1" applyAlignment="1">
      <alignment vertical="center"/>
    </xf>
    <xf numFmtId="0" fontId="46" fillId="2" borderId="1" xfId="0" quotePrefix="1" applyFont="1" applyFill="1" applyBorder="1" applyAlignment="1">
      <alignment vertical="center"/>
    </xf>
    <xf numFmtId="0" fontId="46" fillId="2" borderId="1" xfId="0" quotePrefix="1" applyFont="1" applyFill="1" applyBorder="1" applyAlignment="1">
      <alignment horizontal="left" vertical="center"/>
    </xf>
    <xf numFmtId="167" fontId="46" fillId="2" borderId="1" xfId="1" applyNumberFormat="1" applyFont="1" applyFill="1" applyBorder="1" applyAlignment="1">
      <alignment vertical="center"/>
    </xf>
    <xf numFmtId="0" fontId="46" fillId="2" borderId="0" xfId="0" applyFont="1" applyFill="1" applyAlignment="1">
      <alignment vertical="center"/>
    </xf>
    <xf numFmtId="49" fontId="32" fillId="2" borderId="1" xfId="0" applyNumberFormat="1" applyFont="1" applyFill="1" applyBorder="1" applyAlignment="1">
      <alignment horizontal="left" vertical="center"/>
    </xf>
    <xf numFmtId="14" fontId="32" fillId="2" borderId="1" xfId="0" applyNumberFormat="1" applyFont="1" applyFill="1" applyBorder="1" applyAlignment="1">
      <alignment vertical="center"/>
    </xf>
    <xf numFmtId="49" fontId="32" fillId="2" borderId="1" xfId="0" quotePrefix="1" applyNumberFormat="1" applyFont="1" applyFill="1" applyBorder="1" applyAlignment="1">
      <alignment horizontal="center" vertical="center"/>
    </xf>
    <xf numFmtId="14" fontId="32" fillId="2" borderId="1" xfId="0" quotePrefix="1" applyNumberFormat="1" applyFont="1" applyFill="1" applyBorder="1" applyAlignment="1">
      <alignment horizontal="center" vertical="center"/>
    </xf>
    <xf numFmtId="49" fontId="32" fillId="2" borderId="1" xfId="0" quotePrefix="1" applyNumberFormat="1" applyFont="1" applyFill="1" applyBorder="1" applyAlignment="1">
      <alignment vertical="center"/>
    </xf>
    <xf numFmtId="0" fontId="32" fillId="2" borderId="7" xfId="0" applyFont="1" applyFill="1" applyBorder="1" applyAlignment="1">
      <alignment vertical="center"/>
    </xf>
    <xf numFmtId="0" fontId="32" fillId="2" borderId="1" xfId="0" applyFont="1" applyFill="1" applyBorder="1" applyAlignment="1">
      <alignment vertical="center" wrapText="1"/>
    </xf>
    <xf numFmtId="14" fontId="32" fillId="2" borderId="1" xfId="0" applyNumberFormat="1" applyFont="1" applyFill="1" applyBorder="1" applyAlignment="1">
      <alignment horizontal="right" vertical="center" wrapText="1"/>
    </xf>
    <xf numFmtId="0" fontId="32" fillId="2" borderId="1" xfId="0" quotePrefix="1" applyFont="1" applyFill="1" applyBorder="1" applyAlignment="1">
      <alignment vertical="center" wrapText="1"/>
    </xf>
    <xf numFmtId="0" fontId="32" fillId="2" borderId="1" xfId="0" quotePrefix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14" fontId="32" fillId="2" borderId="1" xfId="0" applyNumberFormat="1" applyFont="1" applyFill="1" applyBorder="1" applyAlignment="1">
      <alignment horizontal="center" vertical="center" wrapText="1"/>
    </xf>
    <xf numFmtId="0" fontId="32" fillId="2" borderId="1" xfId="0" quotePrefix="1" applyFont="1" applyFill="1" applyBorder="1" applyAlignment="1">
      <alignment horizontal="right" vertical="center" wrapText="1"/>
    </xf>
    <xf numFmtId="3" fontId="32" fillId="2" borderId="1" xfId="0" quotePrefix="1" applyNumberFormat="1" applyFont="1" applyFill="1" applyBorder="1" applyAlignment="1">
      <alignment vertical="center"/>
    </xf>
    <xf numFmtId="3" fontId="32" fillId="2" borderId="1" xfId="0" quotePrefix="1" applyNumberFormat="1" applyFont="1" applyFill="1" applyBorder="1" applyAlignment="1">
      <alignment horizontal="center" vertical="center" wrapText="1"/>
    </xf>
    <xf numFmtId="49" fontId="32" fillId="2" borderId="1" xfId="0" applyNumberFormat="1" applyFont="1" applyFill="1" applyBorder="1" applyAlignment="1">
      <alignment horizontal="left" vertical="center" wrapText="1"/>
    </xf>
    <xf numFmtId="0" fontId="32" fillId="2" borderId="1" xfId="0" quotePrefix="1" applyFont="1" applyFill="1" applyBorder="1" applyAlignment="1">
      <alignment vertical="center"/>
    </xf>
    <xf numFmtId="0" fontId="48" fillId="2" borderId="1" xfId="2" applyFont="1" applyFill="1" applyBorder="1" applyAlignment="1" applyProtection="1">
      <alignment vertical="center" wrapText="1"/>
    </xf>
    <xf numFmtId="0" fontId="32" fillId="2" borderId="1" xfId="0" quotePrefix="1" applyFont="1" applyFill="1" applyBorder="1" applyAlignment="1">
      <alignment horizontal="right" vertical="center"/>
    </xf>
    <xf numFmtId="14" fontId="32" fillId="2" borderId="1" xfId="0" applyNumberFormat="1" applyFont="1" applyFill="1" applyBorder="1" applyAlignment="1">
      <alignment horizontal="left" vertical="center"/>
    </xf>
    <xf numFmtId="0" fontId="32" fillId="2" borderId="1" xfId="0" quotePrefix="1" applyFont="1" applyFill="1" applyBorder="1" applyAlignment="1">
      <alignment horizontal="center" vertical="center"/>
    </xf>
    <xf numFmtId="14" fontId="32" fillId="2" borderId="1" xfId="0" quotePrefix="1" applyNumberFormat="1" applyFont="1" applyFill="1" applyBorder="1" applyAlignment="1">
      <alignment horizontal="left" vertical="center"/>
    </xf>
    <xf numFmtId="0" fontId="32" fillId="2" borderId="1" xfId="0" quotePrefix="1" applyFont="1" applyFill="1" applyBorder="1" applyAlignment="1">
      <alignment horizontal="left" vertical="center"/>
    </xf>
    <xf numFmtId="49" fontId="32" fillId="2" borderId="1" xfId="0" quotePrefix="1" applyNumberFormat="1" applyFont="1" applyFill="1" applyBorder="1" applyAlignment="1">
      <alignment horizontal="left" vertical="center"/>
    </xf>
    <xf numFmtId="49" fontId="48" fillId="2" borderId="1" xfId="2" quotePrefix="1" applyNumberFormat="1" applyFont="1" applyFill="1" applyBorder="1" applyAlignment="1" applyProtection="1">
      <alignment horizontal="left" vertical="center"/>
    </xf>
    <xf numFmtId="0" fontId="32" fillId="2" borderId="0" xfId="0" applyFont="1" applyFill="1" applyAlignment="1">
      <alignment horizontal="center" vertical="center"/>
    </xf>
    <xf numFmtId="14" fontId="32" fillId="2" borderId="0" xfId="0" applyNumberFormat="1" applyFont="1" applyFill="1" applyAlignment="1">
      <alignment vertical="center"/>
    </xf>
    <xf numFmtId="2" fontId="32" fillId="2" borderId="0" xfId="0" applyNumberFormat="1" applyFont="1" applyFill="1" applyAlignment="1">
      <alignment vertical="center"/>
    </xf>
    <xf numFmtId="0" fontId="32" fillId="2" borderId="0" xfId="0" applyFont="1" applyFill="1" applyAlignment="1">
      <alignment horizontal="right" vertical="center"/>
    </xf>
    <xf numFmtId="14" fontId="46" fillId="2" borderId="0" xfId="0" applyNumberFormat="1" applyFont="1" applyFill="1" applyAlignment="1">
      <alignment horizontal="center" vertical="center"/>
    </xf>
    <xf numFmtId="49" fontId="32" fillId="2" borderId="0" xfId="0" applyNumberFormat="1" applyFont="1" applyFill="1" applyAlignment="1">
      <alignment vertical="center"/>
    </xf>
    <xf numFmtId="49" fontId="32" fillId="3" borderId="0" xfId="0" applyNumberFormat="1" applyFont="1" applyFill="1" applyAlignment="1">
      <alignment vertical="center"/>
    </xf>
    <xf numFmtId="49" fontId="32" fillId="2" borderId="0" xfId="0" applyNumberFormat="1" applyFont="1" applyFill="1" applyAlignment="1">
      <alignment horizontal="center" vertical="center"/>
    </xf>
    <xf numFmtId="49" fontId="32" fillId="2" borderId="0" xfId="0" applyNumberFormat="1" applyFont="1" applyFill="1" applyAlignment="1">
      <alignment horizontal="left" vertical="center"/>
    </xf>
    <xf numFmtId="14" fontId="32" fillId="2" borderId="0" xfId="0" applyNumberFormat="1" applyFont="1" applyFill="1" applyAlignment="1">
      <alignment horizontal="center" vertical="center"/>
    </xf>
    <xf numFmtId="0" fontId="46" fillId="0" borderId="1" xfId="0" applyFont="1" applyBorder="1" applyAlignment="1">
      <alignment vertical="center"/>
    </xf>
    <xf numFmtId="0" fontId="46" fillId="2" borderId="1" xfId="0" applyFont="1" applyFill="1" applyBorder="1" applyAlignment="1">
      <alignment vertical="center" wrapText="1"/>
    </xf>
    <xf numFmtId="0" fontId="46" fillId="2" borderId="1" xfId="0" quotePrefix="1" applyFont="1" applyFill="1" applyBorder="1" applyAlignment="1">
      <alignment horizontal="right" vertical="center"/>
    </xf>
    <xf numFmtId="49" fontId="46" fillId="2" borderId="1" xfId="0" applyNumberFormat="1" applyFont="1" applyFill="1" applyBorder="1" applyAlignment="1">
      <alignment vertical="center"/>
    </xf>
    <xf numFmtId="14" fontId="46" fillId="2" borderId="1" xfId="0" applyNumberFormat="1" applyFont="1" applyFill="1" applyBorder="1" applyAlignment="1">
      <alignment horizontal="left" vertical="center"/>
    </xf>
    <xf numFmtId="0" fontId="46" fillId="2" borderId="1" xfId="0" quotePrefix="1" applyFont="1" applyFill="1" applyBorder="1" applyAlignment="1">
      <alignment horizontal="center" vertical="center"/>
    </xf>
    <xf numFmtId="49" fontId="49" fillId="2" borderId="1" xfId="2" quotePrefix="1" applyNumberFormat="1" applyFont="1" applyFill="1" applyBorder="1" applyAlignment="1" applyProtection="1">
      <alignment horizontal="left" vertical="center"/>
    </xf>
    <xf numFmtId="14" fontId="46" fillId="2" borderId="1" xfId="0" quotePrefix="1" applyNumberFormat="1" applyFont="1" applyFill="1" applyBorder="1" applyAlignment="1">
      <alignment horizontal="center" vertical="center"/>
    </xf>
    <xf numFmtId="167" fontId="32" fillId="2" borderId="0" xfId="1" applyNumberFormat="1" applyFont="1" applyFill="1" applyBorder="1" applyAlignment="1">
      <alignment vertical="center"/>
    </xf>
    <xf numFmtId="0" fontId="47" fillId="0" borderId="2" xfId="0" applyFont="1" applyBorder="1"/>
    <xf numFmtId="0" fontId="47" fillId="0" borderId="3" xfId="0" applyFont="1" applyBorder="1" applyAlignment="1">
      <alignment vertical="center"/>
    </xf>
    <xf numFmtId="0" fontId="47" fillId="0" borderId="4" xfId="0" applyFont="1" applyBorder="1"/>
    <xf numFmtId="0" fontId="47" fillId="0" borderId="3" xfId="0" applyFont="1" applyBorder="1"/>
    <xf numFmtId="0" fontId="50" fillId="0" borderId="2" xfId="0" applyFont="1" applyBorder="1"/>
    <xf numFmtId="0" fontId="47" fillId="0" borderId="10" xfId="0" applyFont="1" applyBorder="1"/>
    <xf numFmtId="0" fontId="47" fillId="0" borderId="1" xfId="0" applyFont="1" applyBorder="1"/>
    <xf numFmtId="0" fontId="32" fillId="0" borderId="11" xfId="0" applyFont="1" applyBorder="1" applyAlignment="1">
      <alignment wrapText="1"/>
    </xf>
    <xf numFmtId="0" fontId="47" fillId="0" borderId="1" xfId="6" applyFont="1" applyBorder="1" applyAlignment="1">
      <alignment horizontal="center" vertical="center"/>
    </xf>
    <xf numFmtId="14" fontId="47" fillId="0" borderId="1" xfId="6" applyNumberFormat="1" applyFont="1" applyBorder="1" applyAlignment="1">
      <alignment horizontal="center" vertical="center"/>
    </xf>
    <xf numFmtId="0" fontId="32" fillId="2" borderId="9" xfId="0" applyFont="1" applyFill="1" applyBorder="1" applyAlignment="1">
      <alignment horizontal="center" vertical="center"/>
    </xf>
    <xf numFmtId="0" fontId="46" fillId="2" borderId="9" xfId="0" applyFont="1" applyFill="1" applyBorder="1" applyAlignment="1">
      <alignment horizontal="center" vertical="center"/>
    </xf>
    <xf numFmtId="0" fontId="45" fillId="2" borderId="9" xfId="0" applyFont="1" applyFill="1" applyBorder="1" applyAlignment="1">
      <alignment horizontal="center" vertical="center"/>
    </xf>
    <xf numFmtId="49" fontId="45" fillId="2" borderId="9" xfId="0" applyNumberFormat="1" applyFont="1" applyFill="1" applyBorder="1" applyAlignment="1">
      <alignment horizontal="center" vertical="center"/>
    </xf>
    <xf numFmtId="0" fontId="46" fillId="2" borderId="9" xfId="0" applyFont="1" applyFill="1" applyBorder="1" applyAlignment="1">
      <alignment horizontal="left" vertical="center"/>
    </xf>
    <xf numFmtId="0" fontId="45" fillId="2" borderId="9" xfId="0" applyFont="1" applyFill="1" applyBorder="1" applyAlignment="1">
      <alignment horizontal="left" vertical="center"/>
    </xf>
    <xf numFmtId="14" fontId="32" fillId="2" borderId="9" xfId="0" applyNumberFormat="1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/>
    </xf>
    <xf numFmtId="49" fontId="45" fillId="2" borderId="1" xfId="0" applyNumberFormat="1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left" vertical="center"/>
    </xf>
    <xf numFmtId="1" fontId="32" fillId="2" borderId="1" xfId="0" applyNumberFormat="1" applyFont="1" applyFill="1" applyBorder="1" applyAlignment="1">
      <alignment vertical="center"/>
    </xf>
    <xf numFmtId="164" fontId="47" fillId="2" borderId="1" xfId="0" applyNumberFormat="1" applyFont="1" applyFill="1" applyBorder="1" applyAlignment="1">
      <alignment horizontal="center" vertical="center" wrapText="1"/>
    </xf>
    <xf numFmtId="14" fontId="47" fillId="2" borderId="1" xfId="0" quotePrefix="1" applyNumberFormat="1" applyFont="1" applyFill="1" applyBorder="1" applyAlignment="1">
      <alignment horizontal="center" vertical="center"/>
    </xf>
    <xf numFmtId="3" fontId="47" fillId="2" borderId="1" xfId="0" applyNumberFormat="1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1" fontId="32" fillId="2" borderId="1" xfId="0" applyNumberFormat="1" applyFont="1" applyFill="1" applyBorder="1" applyAlignment="1">
      <alignment horizontal="left" vertical="center"/>
    </xf>
    <xf numFmtId="0" fontId="32" fillId="2" borderId="9" xfId="0" applyFont="1" applyFill="1" applyBorder="1" applyAlignment="1">
      <alignment vertical="center"/>
    </xf>
    <xf numFmtId="0" fontId="47" fillId="2" borderId="9" xfId="0" applyFont="1" applyFill="1" applyBorder="1" applyAlignment="1">
      <alignment vertical="center"/>
    </xf>
    <xf numFmtId="0" fontId="47" fillId="2" borderId="1" xfId="0" applyFont="1" applyFill="1" applyBorder="1" applyAlignment="1">
      <alignment horizontal="center" vertical="center"/>
    </xf>
    <xf numFmtId="14" fontId="32" fillId="2" borderId="1" xfId="0" quotePrefix="1" applyNumberFormat="1" applyFont="1" applyFill="1" applyBorder="1" applyAlignment="1">
      <alignment horizontal="center" vertical="center" wrapText="1"/>
    </xf>
    <xf numFmtId="0" fontId="48" fillId="2" borderId="1" xfId="2" applyFont="1" applyFill="1" applyBorder="1" applyAlignment="1" applyProtection="1">
      <alignment horizontal="left" vertical="center" wrapText="1"/>
    </xf>
    <xf numFmtId="0" fontId="31" fillId="2" borderId="1" xfId="0" applyFont="1" applyFill="1" applyBorder="1" applyAlignment="1">
      <alignment vertical="center"/>
    </xf>
    <xf numFmtId="14" fontId="32" fillId="2" borderId="1" xfId="0" applyNumberFormat="1" applyFont="1" applyFill="1" applyBorder="1" applyAlignment="1">
      <alignment horizontal="left" vertical="center" wrapText="1"/>
    </xf>
    <xf numFmtId="49" fontId="32" fillId="2" borderId="1" xfId="0" applyNumberFormat="1" applyFont="1" applyFill="1" applyBorder="1" applyAlignment="1">
      <alignment vertical="center" wrapText="1"/>
    </xf>
    <xf numFmtId="0" fontId="48" fillId="2" borderId="1" xfId="2" applyFont="1" applyFill="1" applyBorder="1" applyAlignment="1" applyProtection="1">
      <alignment horizontal="left" vertical="center"/>
    </xf>
    <xf numFmtId="0" fontId="50" fillId="2" borderId="1" xfId="0" applyFont="1" applyFill="1" applyBorder="1" applyAlignment="1">
      <alignment horizontal="center" vertical="center"/>
    </xf>
    <xf numFmtId="0" fontId="50" fillId="2" borderId="1" xfId="0" applyFont="1" applyFill="1" applyBorder="1" applyAlignment="1">
      <alignment vertical="center"/>
    </xf>
    <xf numFmtId="14" fontId="32" fillId="2" borderId="6" xfId="0" applyNumberFormat="1" applyFont="1" applyFill="1" applyBorder="1" applyAlignment="1">
      <alignment horizontal="center" vertical="center"/>
    </xf>
    <xf numFmtId="0" fontId="32" fillId="2" borderId="9" xfId="0" quotePrefix="1" applyFont="1" applyFill="1" applyBorder="1" applyAlignment="1">
      <alignment vertical="center"/>
    </xf>
    <xf numFmtId="14" fontId="32" fillId="2" borderId="1" xfId="0" applyNumberFormat="1" applyFont="1" applyFill="1" applyBorder="1" applyAlignment="1">
      <alignment horizontal="right" vertical="center"/>
    </xf>
    <xf numFmtId="167" fontId="32" fillId="2" borderId="5" xfId="1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center"/>
    </xf>
    <xf numFmtId="49" fontId="32" fillId="3" borderId="1" xfId="0" applyNumberFormat="1" applyFont="1" applyFill="1" applyBorder="1" applyAlignment="1">
      <alignment vertical="center"/>
    </xf>
    <xf numFmtId="0" fontId="32" fillId="2" borderId="5" xfId="0" applyFont="1" applyFill="1" applyBorder="1" applyAlignment="1">
      <alignment vertical="center" wrapText="1"/>
    </xf>
    <xf numFmtId="14" fontId="32" fillId="2" borderId="5" xfId="0" applyNumberFormat="1" applyFont="1" applyFill="1" applyBorder="1" applyAlignment="1">
      <alignment vertical="center"/>
    </xf>
    <xf numFmtId="1" fontId="46" fillId="2" borderId="5" xfId="0" applyNumberFormat="1" applyFont="1" applyFill="1" applyBorder="1" applyAlignment="1">
      <alignment horizontal="center" vertical="center"/>
    </xf>
    <xf numFmtId="0" fontId="32" fillId="2" borderId="5" xfId="0" quotePrefix="1" applyFont="1" applyFill="1" applyBorder="1" applyAlignment="1">
      <alignment horizontal="right" vertical="center"/>
    </xf>
    <xf numFmtId="14" fontId="46" fillId="2" borderId="5" xfId="0" applyNumberFormat="1" applyFont="1" applyFill="1" applyBorder="1" applyAlignment="1">
      <alignment horizontal="center" vertical="center"/>
    </xf>
    <xf numFmtId="49" fontId="32" fillId="2" borderId="5" xfId="0" applyNumberFormat="1" applyFont="1" applyFill="1" applyBorder="1" applyAlignment="1">
      <alignment vertical="center"/>
    </xf>
    <xf numFmtId="14" fontId="32" fillId="2" borderId="5" xfId="0" applyNumberFormat="1" applyFont="1" applyFill="1" applyBorder="1" applyAlignment="1">
      <alignment horizontal="left" vertical="center"/>
    </xf>
    <xf numFmtId="0" fontId="32" fillId="2" borderId="5" xfId="0" applyFont="1" applyFill="1" applyBorder="1" applyAlignment="1">
      <alignment horizontal="left" vertical="center"/>
    </xf>
    <xf numFmtId="0" fontId="46" fillId="2" borderId="5" xfId="0" applyFont="1" applyFill="1" applyBorder="1" applyAlignment="1">
      <alignment horizontal="left" vertical="center"/>
    </xf>
    <xf numFmtId="0" fontId="32" fillId="2" borderId="5" xfId="0" quotePrefix="1" applyFont="1" applyFill="1" applyBorder="1" applyAlignment="1">
      <alignment vertical="center"/>
    </xf>
    <xf numFmtId="0" fontId="32" fillId="2" borderId="5" xfId="0" applyFont="1" applyFill="1" applyBorder="1" applyAlignment="1">
      <alignment vertical="center"/>
    </xf>
    <xf numFmtId="0" fontId="32" fillId="2" borderId="5" xfId="0" quotePrefix="1" applyFont="1" applyFill="1" applyBorder="1" applyAlignment="1">
      <alignment horizontal="center" vertical="center"/>
    </xf>
    <xf numFmtId="0" fontId="47" fillId="2" borderId="5" xfId="0" applyFont="1" applyFill="1" applyBorder="1" applyAlignment="1">
      <alignment vertical="center"/>
    </xf>
    <xf numFmtId="49" fontId="32" fillId="2" borderId="5" xfId="0" quotePrefix="1" applyNumberFormat="1" applyFont="1" applyFill="1" applyBorder="1" applyAlignment="1">
      <alignment horizontal="left" vertical="center"/>
    </xf>
    <xf numFmtId="49" fontId="48" fillId="2" borderId="5" xfId="2" quotePrefix="1" applyNumberFormat="1" applyFont="1" applyFill="1" applyBorder="1" applyAlignment="1" applyProtection="1">
      <alignment horizontal="left" vertical="center"/>
    </xf>
    <xf numFmtId="14" fontId="32" fillId="2" borderId="5" xfId="0" quotePrefix="1" applyNumberFormat="1" applyFont="1" applyFill="1" applyBorder="1" applyAlignment="1">
      <alignment horizontal="center" vertical="center"/>
    </xf>
    <xf numFmtId="14" fontId="32" fillId="2" borderId="5" xfId="0" applyNumberFormat="1" applyFont="1" applyFill="1" applyBorder="1" applyAlignment="1">
      <alignment horizontal="center" vertical="center"/>
    </xf>
    <xf numFmtId="0" fontId="32" fillId="2" borderId="5" xfId="0" applyFont="1" applyFill="1" applyBorder="1" applyAlignment="1">
      <alignment horizontal="center" vertical="center"/>
    </xf>
    <xf numFmtId="167" fontId="32" fillId="2" borderId="5" xfId="1" applyNumberFormat="1" applyFont="1" applyFill="1" applyBorder="1" applyAlignment="1">
      <alignment vertical="center"/>
    </xf>
    <xf numFmtId="1" fontId="32" fillId="2" borderId="5" xfId="0" applyNumberFormat="1" applyFont="1" applyFill="1" applyBorder="1" applyAlignment="1">
      <alignment horizontal="center" vertical="center"/>
    </xf>
    <xf numFmtId="49" fontId="32" fillId="3" borderId="1" xfId="0" quotePrefix="1" applyNumberFormat="1" applyFont="1" applyFill="1" applyBorder="1" applyAlignment="1">
      <alignment vertical="center"/>
    </xf>
    <xf numFmtId="0" fontId="32" fillId="2" borderId="7" xfId="0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2" fillId="0" borderId="5" xfId="0" applyFont="1" applyBorder="1" applyAlignment="1">
      <alignment vertical="center"/>
    </xf>
    <xf numFmtId="0" fontId="47" fillId="2" borderId="5" xfId="0" applyFont="1" applyFill="1" applyBorder="1" applyAlignment="1">
      <alignment horizontal="left" vertical="center"/>
    </xf>
    <xf numFmtId="49" fontId="32" fillId="3" borderId="5" xfId="0" applyNumberFormat="1" applyFont="1" applyFill="1" applyBorder="1" applyAlignment="1">
      <alignment vertical="center"/>
    </xf>
    <xf numFmtId="49" fontId="32" fillId="2" borderId="5" xfId="0" applyNumberFormat="1" applyFont="1" applyFill="1" applyBorder="1" applyAlignment="1">
      <alignment horizontal="center" vertical="center"/>
    </xf>
    <xf numFmtId="49" fontId="32" fillId="2" borderId="5" xfId="0" applyNumberFormat="1" applyFont="1" applyFill="1" applyBorder="1" applyAlignment="1">
      <alignment horizontal="left" vertical="center"/>
    </xf>
    <xf numFmtId="1" fontId="32" fillId="2" borderId="9" xfId="0" applyNumberFormat="1" applyFont="1" applyFill="1" applyBorder="1" applyAlignment="1">
      <alignment horizontal="center" vertical="center"/>
    </xf>
    <xf numFmtId="0" fontId="32" fillId="0" borderId="9" xfId="0" applyFont="1" applyBorder="1" applyAlignment="1">
      <alignment vertical="center"/>
    </xf>
    <xf numFmtId="0" fontId="32" fillId="2" borderId="9" xfId="0" applyFont="1" applyFill="1" applyBorder="1" applyAlignment="1">
      <alignment vertical="center" wrapText="1"/>
    </xf>
    <xf numFmtId="14" fontId="32" fillId="2" borderId="9" xfId="0" applyNumberFormat="1" applyFont="1" applyFill="1" applyBorder="1" applyAlignment="1">
      <alignment vertical="center"/>
    </xf>
    <xf numFmtId="1" fontId="46" fillId="2" borderId="9" xfId="0" applyNumberFormat="1" applyFont="1" applyFill="1" applyBorder="1" applyAlignment="1">
      <alignment horizontal="center" vertical="center"/>
    </xf>
    <xf numFmtId="0" fontId="32" fillId="2" borderId="9" xfId="0" quotePrefix="1" applyFont="1" applyFill="1" applyBorder="1" applyAlignment="1">
      <alignment horizontal="right" vertical="center"/>
    </xf>
    <xf numFmtId="14" fontId="46" fillId="2" borderId="9" xfId="0" applyNumberFormat="1" applyFont="1" applyFill="1" applyBorder="1" applyAlignment="1">
      <alignment horizontal="center" vertical="center"/>
    </xf>
    <xf numFmtId="49" fontId="32" fillId="2" borderId="9" xfId="0" applyNumberFormat="1" applyFont="1" applyFill="1" applyBorder="1" applyAlignment="1">
      <alignment vertical="center"/>
    </xf>
    <xf numFmtId="14" fontId="32" fillId="2" borderId="9" xfId="0" applyNumberFormat="1" applyFont="1" applyFill="1" applyBorder="1" applyAlignment="1">
      <alignment horizontal="left" vertical="center"/>
    </xf>
    <xf numFmtId="0" fontId="32" fillId="2" borderId="9" xfId="0" applyFont="1" applyFill="1" applyBorder="1" applyAlignment="1">
      <alignment horizontal="left" vertical="center"/>
    </xf>
    <xf numFmtId="0" fontId="32" fillId="2" borderId="9" xfId="0" quotePrefix="1" applyFont="1" applyFill="1" applyBorder="1" applyAlignment="1">
      <alignment horizontal="center" vertical="center"/>
    </xf>
    <xf numFmtId="49" fontId="32" fillId="2" borderId="9" xfId="0" quotePrefix="1" applyNumberFormat="1" applyFont="1" applyFill="1" applyBorder="1" applyAlignment="1">
      <alignment horizontal="left" vertical="center"/>
    </xf>
    <xf numFmtId="49" fontId="48" fillId="2" borderId="9" xfId="2" quotePrefix="1" applyNumberFormat="1" applyFont="1" applyFill="1" applyBorder="1" applyAlignment="1" applyProtection="1">
      <alignment horizontal="left" vertical="center"/>
    </xf>
    <xf numFmtId="14" fontId="32" fillId="2" borderId="9" xfId="0" quotePrefix="1" applyNumberFormat="1" applyFont="1" applyFill="1" applyBorder="1" applyAlignment="1">
      <alignment horizontal="center" vertical="center"/>
    </xf>
    <xf numFmtId="167" fontId="32" fillId="2" borderId="9" xfId="1" applyNumberFormat="1" applyFont="1" applyFill="1" applyBorder="1" applyAlignment="1">
      <alignment vertical="center"/>
    </xf>
    <xf numFmtId="0" fontId="46" fillId="2" borderId="9" xfId="0" applyFont="1" applyFill="1" applyBorder="1" applyAlignment="1">
      <alignment vertical="center"/>
    </xf>
    <xf numFmtId="14" fontId="31" fillId="5" borderId="1" xfId="0" applyNumberFormat="1" applyFont="1" applyFill="1" applyBorder="1" applyAlignment="1">
      <alignment horizontal="center" vertical="center"/>
    </xf>
    <xf numFmtId="0" fontId="43" fillId="2" borderId="1" xfId="4" applyFont="1" applyFill="1" applyBorder="1"/>
    <xf numFmtId="0" fontId="43" fillId="2" borderId="1" xfId="4" applyFont="1" applyFill="1" applyBorder="1" applyAlignment="1">
      <alignment horizontal="left"/>
    </xf>
    <xf numFmtId="14" fontId="43" fillId="2" borderId="1" xfId="4" applyNumberFormat="1" applyFont="1" applyFill="1" applyBorder="1" applyAlignment="1">
      <alignment horizontal="center"/>
    </xf>
    <xf numFmtId="14" fontId="43" fillId="2" borderId="1" xfId="5" applyNumberFormat="1" applyFont="1" applyFill="1" applyBorder="1" applyAlignment="1"/>
    <xf numFmtId="166" fontId="43" fillId="2" borderId="1" xfId="5" applyNumberFormat="1" applyFont="1" applyFill="1" applyBorder="1" applyAlignment="1"/>
    <xf numFmtId="0" fontId="6" fillId="5" borderId="5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5" borderId="5" xfId="0" applyNumberFormat="1" applyFont="1" applyFill="1" applyBorder="1" applyAlignment="1">
      <alignment horizontal="center" vertical="center"/>
    </xf>
    <xf numFmtId="49" fontId="3" fillId="5" borderId="9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167" fontId="6" fillId="5" borderId="1" xfId="1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2" fontId="3" fillId="5" borderId="5" xfId="0" applyNumberFormat="1" applyFont="1" applyFill="1" applyBorder="1" applyAlignment="1">
      <alignment horizontal="center" vertical="center" wrapText="1"/>
    </xf>
    <xf numFmtId="2" fontId="3" fillId="5" borderId="9" xfId="0" applyNumberFormat="1" applyFont="1" applyFill="1" applyBorder="1" applyAlignment="1">
      <alignment horizontal="center" vertical="center" wrapText="1"/>
    </xf>
    <xf numFmtId="49" fontId="3" fillId="5" borderId="5" xfId="0" applyNumberFormat="1" applyFont="1" applyFill="1" applyBorder="1" applyAlignment="1">
      <alignment horizontal="center" vertical="center" wrapText="1"/>
    </xf>
    <xf numFmtId="49" fontId="3" fillId="5" borderId="9" xfId="0" applyNumberFormat="1" applyFont="1" applyFill="1" applyBorder="1" applyAlignment="1">
      <alignment horizontal="center" vertical="center" wrapText="1"/>
    </xf>
    <xf numFmtId="14" fontId="3" fillId="5" borderId="5" xfId="0" applyNumberFormat="1" applyFont="1" applyFill="1" applyBorder="1" applyAlignment="1">
      <alignment horizontal="center" vertical="center"/>
    </xf>
    <xf numFmtId="14" fontId="3" fillId="5" borderId="9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167" fontId="6" fillId="5" borderId="5" xfId="1" applyNumberFormat="1" applyFont="1" applyFill="1" applyBorder="1" applyAlignment="1">
      <alignment horizontal="center" vertical="center" wrapText="1"/>
    </xf>
    <xf numFmtId="167" fontId="6" fillId="5" borderId="9" xfId="1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14" fontId="32" fillId="0" borderId="1" xfId="6" applyNumberFormat="1" applyFont="1" applyBorder="1" applyAlignment="1">
      <alignment horizontal="left" vertical="center" wrapText="1"/>
    </xf>
    <xf numFmtId="0" fontId="17" fillId="0" borderId="0" xfId="6" applyFont="1" applyAlignment="1">
      <alignment horizontal="center" vertical="center"/>
    </xf>
    <xf numFmtId="14" fontId="16" fillId="0" borderId="0" xfId="6" applyNumberFormat="1" applyFont="1" applyAlignment="1">
      <alignment horizontal="center" vertical="center" wrapText="1"/>
    </xf>
    <xf numFmtId="14" fontId="15" fillId="0" borderId="0" xfId="6" applyNumberFormat="1" applyFont="1" applyAlignment="1">
      <alignment horizontal="center" vertical="center"/>
    </xf>
    <xf numFmtId="0" fontId="11" fillId="5" borderId="1" xfId="6" applyFont="1" applyFill="1" applyBorder="1" applyAlignment="1">
      <alignment horizontal="center" vertical="center"/>
    </xf>
    <xf numFmtId="14" fontId="11" fillId="5" borderId="1" xfId="6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27" fillId="2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/>
    </xf>
  </cellXfs>
  <cellStyles count="9">
    <cellStyle name="Comma" xfId="1" builtinId="3"/>
    <cellStyle name="Comma 2" xfId="5" xr:uid="{00000000-0005-0000-0000-000001000000}"/>
    <cellStyle name="Hyperlink" xfId="2" builtinId="8"/>
    <cellStyle name="Normal" xfId="0" builtinId="0"/>
    <cellStyle name="Normal 2" xfId="4" xr:uid="{00000000-0005-0000-0000-000004000000}"/>
    <cellStyle name="Normal 3" xfId="6" xr:uid="{00000000-0005-0000-0000-000005000000}"/>
    <cellStyle name="Normal 3 2" xfId="3" xr:uid="{00000000-0005-0000-0000-000006000000}"/>
    <cellStyle name="Normal 4" xfId="7" xr:uid="{00000000-0005-0000-0000-000007000000}"/>
    <cellStyle name="Percent" xfId="8" builtinId="5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0</xdr:rowOff>
    </xdr:from>
    <xdr:to>
      <xdr:col>7</xdr:col>
      <xdr:colOff>561975</xdr:colOff>
      <xdr:row>2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64959D-A65F-495B-8F72-11147FA1E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0"/>
          <a:ext cx="3886200" cy="57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eDrive\THANH%20PHU\Bao-Ngoc\02.%20BHXH\01.%20CTY%20THANH%20PHU\4%20BANG%20CHI%20TIET%20NV%20THAM%20GIA%20BHXH\1.%20THEO%20DOI%20NOP%20TIEN%20BHXH%202024%20THANH%20PH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ong hop"/>
      <sheetName val="GIA VU"/>
      <sheetName val="CN GIA VU"/>
      <sheetName val="KTHD"/>
      <sheetName val="THANH DO"/>
      <sheetName val="THANH DO (2)"/>
      <sheetName val="THINH THE"/>
      <sheetName val="NAM HOANG"/>
      <sheetName val="P BAO KHANG"/>
      <sheetName val="QUANG PHU"/>
      <sheetName val="GIA HAN"/>
      <sheetName val="DOMEC"/>
      <sheetName val="dai hung"/>
      <sheetName val="toan cau"/>
      <sheetName val="HOANG LAN"/>
      <sheetName val="CP KY NGUYEN"/>
      <sheetName val="CODEC"/>
      <sheetName val="DOLLY"/>
      <sheetName val="AL TAMINDS"/>
      <sheetName val="PHUC GIA BAO."/>
      <sheetName val="HHQ"/>
      <sheetName val="PHUC GIA BAO. (2)"/>
      <sheetName val="Vu Cam nguyen"/>
      <sheetName val="T11.2023"/>
      <sheetName val="T12.2023"/>
      <sheetName val="T01.2024"/>
      <sheetName val="T02.2024"/>
      <sheetName val="T03.2024"/>
      <sheetName val="ĐÓNG TIỀN NỢ"/>
      <sheetName val="T04.2024"/>
      <sheetName val="T05.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8">
          <cell r="B8" t="str">
            <v>Phạm Hoàng Anh</v>
          </cell>
          <cell r="C8" t="str">
            <v>Văn Phòng</v>
          </cell>
          <cell r="D8" t="str">
            <v>0205105429</v>
          </cell>
          <cell r="E8">
            <v>7000000</v>
          </cell>
          <cell r="F8">
            <v>560000</v>
          </cell>
          <cell r="G8">
            <v>1225000</v>
          </cell>
          <cell r="H8">
            <v>105000</v>
          </cell>
          <cell r="I8">
            <v>210000</v>
          </cell>
          <cell r="J8">
            <v>70000</v>
          </cell>
          <cell r="K8">
            <v>70000</v>
          </cell>
          <cell r="L8">
            <v>735000</v>
          </cell>
          <cell r="M8">
            <v>1505000</v>
          </cell>
          <cell r="N8">
            <v>2240000</v>
          </cell>
          <cell r="O8" t="str">
            <v>T07/2010</v>
          </cell>
        </row>
        <row r="9">
          <cell r="B9" t="str">
            <v>Võ Thị Muội</v>
          </cell>
          <cell r="C9" t="str">
            <v>Văn Phòng</v>
          </cell>
          <cell r="D9" t="str">
            <v>7910430254</v>
          </cell>
          <cell r="E9">
            <v>5008000</v>
          </cell>
          <cell r="F9">
            <v>400640</v>
          </cell>
          <cell r="G9">
            <v>876400</v>
          </cell>
          <cell r="H9">
            <v>75120</v>
          </cell>
          <cell r="I9">
            <v>150240</v>
          </cell>
          <cell r="J9">
            <v>50080</v>
          </cell>
          <cell r="K9">
            <v>50080</v>
          </cell>
          <cell r="L9">
            <v>525840</v>
          </cell>
          <cell r="M9">
            <v>1076720</v>
          </cell>
          <cell r="N9">
            <v>1602560</v>
          </cell>
          <cell r="O9" t="str">
            <v>T09/2010</v>
          </cell>
        </row>
        <row r="10">
          <cell r="B10" t="str">
            <v>Huỳnh Văn Lũy</v>
          </cell>
          <cell r="C10" t="str">
            <v>Văn Phòng</v>
          </cell>
          <cell r="D10">
            <v>7913037584</v>
          </cell>
          <cell r="E10">
            <v>5008000</v>
          </cell>
          <cell r="F10">
            <v>400640</v>
          </cell>
          <cell r="G10">
            <v>876400</v>
          </cell>
          <cell r="H10">
            <v>75120</v>
          </cell>
          <cell r="I10">
            <v>150240</v>
          </cell>
          <cell r="J10">
            <v>50080</v>
          </cell>
          <cell r="K10">
            <v>50080</v>
          </cell>
          <cell r="L10">
            <v>525840</v>
          </cell>
          <cell r="M10">
            <v>1076720</v>
          </cell>
          <cell r="N10">
            <v>1602560</v>
          </cell>
          <cell r="O10" t="str">
            <v>T04/2013</v>
          </cell>
        </row>
        <row r="11">
          <cell r="B11" t="str">
            <v>Nguyễn Thành Nhân</v>
          </cell>
          <cell r="C11" t="str">
            <v>Văn Phòng</v>
          </cell>
          <cell r="D11" t="str">
            <v>7916037564</v>
          </cell>
          <cell r="E11">
            <v>5008000</v>
          </cell>
          <cell r="F11">
            <v>400640</v>
          </cell>
          <cell r="G11">
            <v>876400</v>
          </cell>
          <cell r="H11">
            <v>75120</v>
          </cell>
          <cell r="I11">
            <v>150240</v>
          </cell>
          <cell r="J11">
            <v>50080</v>
          </cell>
          <cell r="K11">
            <v>50080</v>
          </cell>
          <cell r="L11">
            <v>525840</v>
          </cell>
          <cell r="M11">
            <v>1076720</v>
          </cell>
          <cell r="N11">
            <v>1602560</v>
          </cell>
          <cell r="O11" t="str">
            <v>T04/2016</v>
          </cell>
        </row>
        <row r="12">
          <cell r="B12" t="str">
            <v>Dương Thái Luyến</v>
          </cell>
          <cell r="C12" t="str">
            <v>Công Trình</v>
          </cell>
          <cell r="D12" t="str">
            <v>7916264390</v>
          </cell>
          <cell r="E12">
            <v>5008000</v>
          </cell>
          <cell r="F12">
            <v>400640</v>
          </cell>
          <cell r="G12">
            <v>876400</v>
          </cell>
          <cell r="H12">
            <v>75120</v>
          </cell>
          <cell r="I12">
            <v>150240</v>
          </cell>
          <cell r="J12">
            <v>50080</v>
          </cell>
          <cell r="K12">
            <v>50080</v>
          </cell>
          <cell r="L12">
            <v>525840</v>
          </cell>
          <cell r="M12">
            <v>1076720</v>
          </cell>
          <cell r="N12">
            <v>1602560</v>
          </cell>
          <cell r="O12" t="str">
            <v>T10/2016</v>
          </cell>
        </row>
        <row r="13">
          <cell r="B13" t="str">
            <v>Nguyễn Ngọc Phi Hổ</v>
          </cell>
          <cell r="C13" t="str">
            <v>Văn Phòng</v>
          </cell>
          <cell r="D13" t="str">
            <v>7908055913</v>
          </cell>
          <cell r="E13">
            <v>5008000</v>
          </cell>
          <cell r="F13">
            <v>400640</v>
          </cell>
          <cell r="G13">
            <v>876400</v>
          </cell>
          <cell r="H13">
            <v>75120</v>
          </cell>
          <cell r="I13">
            <v>150240</v>
          </cell>
          <cell r="J13">
            <v>50080</v>
          </cell>
          <cell r="K13">
            <v>50080</v>
          </cell>
          <cell r="L13">
            <v>525840</v>
          </cell>
          <cell r="M13">
            <v>1076720</v>
          </cell>
          <cell r="N13">
            <v>1602560</v>
          </cell>
          <cell r="O13" t="str">
            <v>T03/2017</v>
          </cell>
        </row>
        <row r="14">
          <cell r="B14" t="str">
            <v>Huỳnh Long Hồ</v>
          </cell>
          <cell r="C14" t="str">
            <v>Công Trình</v>
          </cell>
          <cell r="D14" t="str">
            <v>7916455166</v>
          </cell>
          <cell r="E14">
            <v>5008000</v>
          </cell>
          <cell r="F14">
            <v>400640</v>
          </cell>
          <cell r="G14">
            <v>876400</v>
          </cell>
          <cell r="H14">
            <v>75120</v>
          </cell>
          <cell r="I14">
            <v>150240</v>
          </cell>
          <cell r="J14">
            <v>50080</v>
          </cell>
          <cell r="K14">
            <v>50080</v>
          </cell>
          <cell r="L14">
            <v>525840</v>
          </cell>
          <cell r="M14">
            <v>1076720</v>
          </cell>
          <cell r="N14">
            <v>1602560</v>
          </cell>
          <cell r="O14" t="str">
            <v>T03/2017</v>
          </cell>
        </row>
        <row r="15">
          <cell r="B15" t="str">
            <v>Nguyễn Hiếu Thiện</v>
          </cell>
          <cell r="C15" t="str">
            <v>Văn Phòng</v>
          </cell>
          <cell r="D15" t="str">
            <v>0203097816</v>
          </cell>
          <cell r="E15">
            <v>5008000</v>
          </cell>
          <cell r="F15">
            <v>400640</v>
          </cell>
          <cell r="G15">
            <v>876400</v>
          </cell>
          <cell r="H15">
            <v>75120</v>
          </cell>
          <cell r="I15">
            <v>150240</v>
          </cell>
          <cell r="J15">
            <v>50080</v>
          </cell>
          <cell r="K15">
            <v>50080</v>
          </cell>
          <cell r="L15">
            <v>525840</v>
          </cell>
          <cell r="M15">
            <v>1076720</v>
          </cell>
          <cell r="N15">
            <v>1602560</v>
          </cell>
          <cell r="O15" t="str">
            <v>T09/2018</v>
          </cell>
        </row>
        <row r="16">
          <cell r="B16" t="str">
            <v>Hoàng Tăng Bảo Chánh</v>
          </cell>
          <cell r="C16" t="str">
            <v>Công Trình</v>
          </cell>
          <cell r="D16" t="str">
            <v>0205157361</v>
          </cell>
          <cell r="E16">
            <v>5008000</v>
          </cell>
          <cell r="F16">
            <v>400640</v>
          </cell>
          <cell r="G16">
            <v>876400</v>
          </cell>
          <cell r="H16">
            <v>75120</v>
          </cell>
          <cell r="I16">
            <v>150240</v>
          </cell>
          <cell r="J16">
            <v>50080</v>
          </cell>
          <cell r="K16">
            <v>50080</v>
          </cell>
          <cell r="L16">
            <v>525840</v>
          </cell>
          <cell r="M16">
            <v>1076720</v>
          </cell>
          <cell r="N16">
            <v>1602560</v>
          </cell>
          <cell r="O16" t="str">
            <v>T01/2019</v>
          </cell>
        </row>
        <row r="17">
          <cell r="B17" t="str">
            <v>Âu Văn Vũ</v>
          </cell>
          <cell r="C17" t="str">
            <v>Công Trình</v>
          </cell>
          <cell r="D17" t="str">
            <v>7914162911</v>
          </cell>
          <cell r="E17">
            <v>5008000</v>
          </cell>
          <cell r="F17">
            <v>400640</v>
          </cell>
          <cell r="G17">
            <v>876400</v>
          </cell>
          <cell r="H17">
            <v>75120</v>
          </cell>
          <cell r="I17">
            <v>150240</v>
          </cell>
          <cell r="J17">
            <v>50080</v>
          </cell>
          <cell r="K17">
            <v>50080</v>
          </cell>
          <cell r="L17">
            <v>525840</v>
          </cell>
          <cell r="M17">
            <v>1076720</v>
          </cell>
          <cell r="N17">
            <v>1602560</v>
          </cell>
          <cell r="O17" t="str">
            <v>T04/2019</v>
          </cell>
        </row>
        <row r="18">
          <cell r="B18" t="str">
            <v>Lê Văn Minh</v>
          </cell>
          <cell r="C18" t="str">
            <v>Văn Phòng</v>
          </cell>
          <cell r="D18" t="str">
            <v>7914154607</v>
          </cell>
          <cell r="E18">
            <v>5008000</v>
          </cell>
          <cell r="F18">
            <v>400640</v>
          </cell>
          <cell r="G18">
            <v>876400</v>
          </cell>
          <cell r="H18">
            <v>75120</v>
          </cell>
          <cell r="I18">
            <v>150240</v>
          </cell>
          <cell r="J18">
            <v>50080</v>
          </cell>
          <cell r="K18">
            <v>50080</v>
          </cell>
          <cell r="L18">
            <v>525840</v>
          </cell>
          <cell r="M18">
            <v>1076720</v>
          </cell>
          <cell r="N18">
            <v>1602560</v>
          </cell>
          <cell r="O18" t="str">
            <v>T06/2019</v>
          </cell>
        </row>
        <row r="19">
          <cell r="B19" t="str">
            <v>Nguyễn Thành Trung</v>
          </cell>
          <cell r="C19" t="str">
            <v>Văn Phòng</v>
          </cell>
          <cell r="D19" t="str">
            <v>0206313215</v>
          </cell>
          <cell r="E19">
            <v>5008000</v>
          </cell>
          <cell r="F19">
            <v>400640</v>
          </cell>
          <cell r="G19">
            <v>876400</v>
          </cell>
          <cell r="H19">
            <v>75120</v>
          </cell>
          <cell r="I19">
            <v>150240</v>
          </cell>
          <cell r="J19">
            <v>50080</v>
          </cell>
          <cell r="K19">
            <v>50080</v>
          </cell>
          <cell r="L19">
            <v>525840</v>
          </cell>
          <cell r="M19">
            <v>1076720</v>
          </cell>
          <cell r="N19">
            <v>1602560</v>
          </cell>
          <cell r="O19" t="str">
            <v>T10/2019</v>
          </cell>
        </row>
        <row r="20">
          <cell r="B20" t="str">
            <v>Nguyễn Hữu Vương</v>
          </cell>
          <cell r="C20" t="str">
            <v>Văn Phòng</v>
          </cell>
          <cell r="D20" t="str">
            <v>5421090898</v>
          </cell>
          <cell r="E20">
            <v>5008000</v>
          </cell>
          <cell r="F20">
            <v>400640</v>
          </cell>
          <cell r="G20">
            <v>876400</v>
          </cell>
          <cell r="H20">
            <v>75120</v>
          </cell>
          <cell r="I20">
            <v>150240</v>
          </cell>
          <cell r="J20">
            <v>50080</v>
          </cell>
          <cell r="K20">
            <v>50080</v>
          </cell>
          <cell r="L20">
            <v>525840</v>
          </cell>
          <cell r="M20">
            <v>1076720</v>
          </cell>
          <cell r="N20">
            <v>1602560</v>
          </cell>
          <cell r="O20" t="str">
            <v>T11/2019</v>
          </cell>
        </row>
        <row r="21">
          <cell r="B21" t="str">
            <v>Đồng Văn Thạch</v>
          </cell>
          <cell r="C21" t="str">
            <v>Văn Phòng</v>
          </cell>
          <cell r="D21" t="str">
            <v>0205357705</v>
          </cell>
          <cell r="E21">
            <v>5008000</v>
          </cell>
          <cell r="F21">
            <v>400640</v>
          </cell>
          <cell r="G21">
            <v>876400</v>
          </cell>
          <cell r="H21">
            <v>75120</v>
          </cell>
          <cell r="I21">
            <v>150240</v>
          </cell>
          <cell r="J21">
            <v>50080</v>
          </cell>
          <cell r="K21">
            <v>50080</v>
          </cell>
          <cell r="L21">
            <v>525840</v>
          </cell>
          <cell r="M21">
            <v>1076720</v>
          </cell>
          <cell r="N21">
            <v>1602560</v>
          </cell>
          <cell r="O21" t="str">
            <v>T11/2019</v>
          </cell>
        </row>
        <row r="22">
          <cell r="B22" t="str">
            <v>Phan Vũ Thịnh</v>
          </cell>
          <cell r="C22" t="str">
            <v>Văn Phòng</v>
          </cell>
          <cell r="D22" t="str">
            <v>7913036175</v>
          </cell>
          <cell r="E22">
            <v>5008000</v>
          </cell>
          <cell r="F22">
            <v>400640</v>
          </cell>
          <cell r="G22">
            <v>876400</v>
          </cell>
          <cell r="H22">
            <v>75120</v>
          </cell>
          <cell r="I22">
            <v>150240</v>
          </cell>
          <cell r="J22">
            <v>50080</v>
          </cell>
          <cell r="K22">
            <v>50080</v>
          </cell>
          <cell r="L22">
            <v>525840</v>
          </cell>
          <cell r="M22">
            <v>1076720</v>
          </cell>
          <cell r="N22">
            <v>1602560</v>
          </cell>
          <cell r="O22" t="str">
            <v>T02/2020</v>
          </cell>
        </row>
        <row r="23">
          <cell r="B23" t="str">
            <v>Huỳnh Ngọc Hùng</v>
          </cell>
          <cell r="C23" t="str">
            <v>Công Trình</v>
          </cell>
          <cell r="D23" t="str">
            <v>7413215969</v>
          </cell>
          <cell r="E23">
            <v>5008000</v>
          </cell>
          <cell r="F23">
            <v>400640</v>
          </cell>
          <cell r="G23">
            <v>876400</v>
          </cell>
          <cell r="H23">
            <v>75120</v>
          </cell>
          <cell r="I23">
            <v>150240</v>
          </cell>
          <cell r="J23">
            <v>50080</v>
          </cell>
          <cell r="K23">
            <v>50080</v>
          </cell>
          <cell r="L23">
            <v>525840</v>
          </cell>
          <cell r="M23">
            <v>1076720</v>
          </cell>
          <cell r="N23">
            <v>1602560</v>
          </cell>
          <cell r="O23" t="str">
            <v>T03/2020</v>
          </cell>
        </row>
        <row r="24">
          <cell r="B24" t="str">
            <v>Nguyễn Hoa Linh</v>
          </cell>
          <cell r="C24" t="str">
            <v>Văn Phòng</v>
          </cell>
          <cell r="D24" t="str">
            <v>8214014160</v>
          </cell>
          <cell r="E24">
            <v>5008000</v>
          </cell>
          <cell r="F24">
            <v>400640</v>
          </cell>
          <cell r="G24">
            <v>876400</v>
          </cell>
          <cell r="H24">
            <v>75120</v>
          </cell>
          <cell r="I24">
            <v>150240</v>
          </cell>
          <cell r="J24">
            <v>50080</v>
          </cell>
          <cell r="K24">
            <v>50080</v>
          </cell>
          <cell r="L24">
            <v>525840</v>
          </cell>
          <cell r="M24">
            <v>1076720</v>
          </cell>
          <cell r="N24">
            <v>1602560</v>
          </cell>
          <cell r="O24" t="str">
            <v>T04/2016</v>
          </cell>
        </row>
        <row r="25">
          <cell r="B25" t="str">
            <v>Nguyễn Văn Trường</v>
          </cell>
          <cell r="C25" t="str">
            <v>Văn Phòng</v>
          </cell>
          <cell r="D25" t="str">
            <v>7915035064</v>
          </cell>
          <cell r="E25">
            <v>5008000</v>
          </cell>
          <cell r="F25">
            <v>400640</v>
          </cell>
          <cell r="G25">
            <v>876400</v>
          </cell>
          <cell r="H25">
            <v>75120</v>
          </cell>
          <cell r="I25">
            <v>150240</v>
          </cell>
          <cell r="J25">
            <v>50080</v>
          </cell>
          <cell r="K25">
            <v>50080</v>
          </cell>
          <cell r="L25">
            <v>525840</v>
          </cell>
          <cell r="M25">
            <v>1076720</v>
          </cell>
          <cell r="N25">
            <v>1602560</v>
          </cell>
          <cell r="O25" t="str">
            <v>T09/2020</v>
          </cell>
        </row>
        <row r="26">
          <cell r="B26" t="str">
            <v>Nguyễn Quốc Trị</v>
          </cell>
          <cell r="C26" t="str">
            <v>Công Trình</v>
          </cell>
          <cell r="D26" t="str">
            <v>5221269029</v>
          </cell>
          <cell r="E26">
            <v>5008000</v>
          </cell>
          <cell r="F26">
            <v>400640</v>
          </cell>
          <cell r="G26">
            <v>876400</v>
          </cell>
          <cell r="H26">
            <v>75120</v>
          </cell>
          <cell r="I26">
            <v>150240</v>
          </cell>
          <cell r="J26">
            <v>50080</v>
          </cell>
          <cell r="K26">
            <v>50080</v>
          </cell>
          <cell r="L26">
            <v>525840</v>
          </cell>
          <cell r="M26">
            <v>1076720</v>
          </cell>
          <cell r="N26">
            <v>1602560</v>
          </cell>
          <cell r="O26" t="str">
            <v>T09/2020</v>
          </cell>
        </row>
        <row r="27">
          <cell r="B27" t="str">
            <v>Đặng Hà Đoan Dung</v>
          </cell>
          <cell r="C27" t="str">
            <v>Văn Phòng</v>
          </cell>
          <cell r="D27" t="str">
            <v>7909247191</v>
          </cell>
          <cell r="E27">
            <v>5008000</v>
          </cell>
          <cell r="F27">
            <v>400640</v>
          </cell>
          <cell r="G27">
            <v>876400</v>
          </cell>
          <cell r="H27">
            <v>75120</v>
          </cell>
          <cell r="I27">
            <v>150240</v>
          </cell>
          <cell r="J27">
            <v>50080</v>
          </cell>
          <cell r="K27">
            <v>50080</v>
          </cell>
          <cell r="L27">
            <v>525840</v>
          </cell>
          <cell r="M27">
            <v>1076720</v>
          </cell>
          <cell r="N27">
            <v>1602560</v>
          </cell>
          <cell r="O27" t="str">
            <v>T04/2016</v>
          </cell>
        </row>
        <row r="28">
          <cell r="B28" t="str">
            <v>Lê Minh Hoàng</v>
          </cell>
          <cell r="C28" t="str">
            <v>Công Trình</v>
          </cell>
          <cell r="D28" t="str">
            <v>5221303235</v>
          </cell>
          <cell r="E28">
            <v>5008000</v>
          </cell>
          <cell r="F28">
            <v>400640</v>
          </cell>
          <cell r="G28">
            <v>876400</v>
          </cell>
          <cell r="H28">
            <v>75120</v>
          </cell>
          <cell r="I28">
            <v>150240</v>
          </cell>
          <cell r="J28">
            <v>50080</v>
          </cell>
          <cell r="K28">
            <v>50080</v>
          </cell>
          <cell r="L28">
            <v>525840</v>
          </cell>
          <cell r="M28">
            <v>1076720</v>
          </cell>
          <cell r="N28">
            <v>1602560</v>
          </cell>
          <cell r="O28" t="str">
            <v>T06/2021</v>
          </cell>
        </row>
        <row r="29">
          <cell r="B29" t="str">
            <v>Phạm Văn Vũ</v>
          </cell>
          <cell r="C29" t="str">
            <v>Công Trình</v>
          </cell>
          <cell r="D29" t="str">
            <v>9213007043</v>
          </cell>
          <cell r="E29">
            <v>5008000</v>
          </cell>
          <cell r="F29">
            <v>400640</v>
          </cell>
          <cell r="G29">
            <v>876400</v>
          </cell>
          <cell r="H29">
            <v>75120</v>
          </cell>
          <cell r="I29">
            <v>150240</v>
          </cell>
          <cell r="J29">
            <v>50080</v>
          </cell>
          <cell r="K29">
            <v>50080</v>
          </cell>
          <cell r="L29">
            <v>525840</v>
          </cell>
          <cell r="M29">
            <v>1076720</v>
          </cell>
          <cell r="N29">
            <v>1602560</v>
          </cell>
          <cell r="O29" t="str">
            <v>T12/2020</v>
          </cell>
        </row>
        <row r="30">
          <cell r="B30" t="str">
            <v>Huỳnh Minh Nghị</v>
          </cell>
          <cell r="C30" t="str">
            <v>Công Trình</v>
          </cell>
          <cell r="D30" t="str">
            <v>8923267816</v>
          </cell>
          <cell r="E30">
            <v>5008000</v>
          </cell>
          <cell r="F30">
            <v>400640</v>
          </cell>
          <cell r="G30">
            <v>876400</v>
          </cell>
          <cell r="H30">
            <v>75120</v>
          </cell>
          <cell r="I30">
            <v>150240</v>
          </cell>
          <cell r="J30">
            <v>50080</v>
          </cell>
          <cell r="K30">
            <v>50080</v>
          </cell>
          <cell r="L30">
            <v>525840</v>
          </cell>
          <cell r="M30">
            <v>1076720</v>
          </cell>
          <cell r="N30">
            <v>1602560</v>
          </cell>
          <cell r="O30" t="str">
            <v>T11/2021</v>
          </cell>
        </row>
        <row r="31">
          <cell r="B31" t="str">
            <v>Nguyễn Bảo Ngọc</v>
          </cell>
          <cell r="C31" t="str">
            <v>Văn Phòng</v>
          </cell>
          <cell r="D31" t="str">
            <v>7916450461</v>
          </cell>
          <cell r="E31">
            <v>5008000</v>
          </cell>
          <cell r="F31">
            <v>400640</v>
          </cell>
          <cell r="G31">
            <v>876400</v>
          </cell>
          <cell r="H31">
            <v>75120</v>
          </cell>
          <cell r="I31">
            <v>150240</v>
          </cell>
          <cell r="J31">
            <v>50080</v>
          </cell>
          <cell r="K31">
            <v>50080</v>
          </cell>
          <cell r="L31">
            <v>525840</v>
          </cell>
          <cell r="M31">
            <v>1076720</v>
          </cell>
          <cell r="N31">
            <v>1602560</v>
          </cell>
          <cell r="O31" t="str">
            <v>T11/2021</v>
          </cell>
        </row>
        <row r="32">
          <cell r="B32" t="str">
            <v>Lê Quốc Dũng</v>
          </cell>
          <cell r="C32" t="str">
            <v>Công Trình</v>
          </cell>
          <cell r="D32" t="str">
            <v>0204344328</v>
          </cell>
          <cell r="E32">
            <v>5008000</v>
          </cell>
          <cell r="F32">
            <v>400640</v>
          </cell>
          <cell r="G32">
            <v>876400</v>
          </cell>
          <cell r="H32">
            <v>75120</v>
          </cell>
          <cell r="I32">
            <v>150240</v>
          </cell>
          <cell r="J32">
            <v>50080</v>
          </cell>
          <cell r="K32">
            <v>50080</v>
          </cell>
          <cell r="L32">
            <v>525840</v>
          </cell>
          <cell r="M32">
            <v>1076720</v>
          </cell>
          <cell r="N32">
            <v>1602560</v>
          </cell>
          <cell r="O32" t="str">
            <v>T01/2022</v>
          </cell>
        </row>
        <row r="33">
          <cell r="B33" t="str">
            <v>Nguyễn Duy Hải</v>
          </cell>
          <cell r="C33" t="str">
            <v>Văn Phòng</v>
          </cell>
          <cell r="D33" t="str">
            <v>7916077355</v>
          </cell>
          <cell r="E33">
            <v>5008000</v>
          </cell>
          <cell r="F33">
            <v>400640</v>
          </cell>
          <cell r="G33">
            <v>876400</v>
          </cell>
          <cell r="H33">
            <v>75120</v>
          </cell>
          <cell r="I33">
            <v>150240</v>
          </cell>
          <cell r="J33">
            <v>50080</v>
          </cell>
          <cell r="K33">
            <v>50080</v>
          </cell>
          <cell r="L33">
            <v>525840</v>
          </cell>
          <cell r="M33">
            <v>1076720</v>
          </cell>
          <cell r="N33">
            <v>1602560</v>
          </cell>
          <cell r="O33" t="str">
            <v>T01/2022</v>
          </cell>
        </row>
        <row r="34">
          <cell r="B34" t="str">
            <v>Trần Văn Khình</v>
          </cell>
          <cell r="C34" t="str">
            <v>Văn Phòng</v>
          </cell>
          <cell r="D34" t="str">
            <v>8922834930</v>
          </cell>
          <cell r="E34">
            <v>5008000</v>
          </cell>
          <cell r="F34">
            <v>400640</v>
          </cell>
          <cell r="G34">
            <v>876400</v>
          </cell>
          <cell r="H34">
            <v>75120</v>
          </cell>
          <cell r="I34">
            <v>150240</v>
          </cell>
          <cell r="J34">
            <v>50080</v>
          </cell>
          <cell r="K34">
            <v>50080</v>
          </cell>
          <cell r="L34">
            <v>525840</v>
          </cell>
          <cell r="M34">
            <v>1076720</v>
          </cell>
          <cell r="N34">
            <v>1602560</v>
          </cell>
          <cell r="O34" t="str">
            <v>T01/2022</v>
          </cell>
        </row>
        <row r="35">
          <cell r="B35" t="str">
            <v>Nguyễn Văn Pha</v>
          </cell>
          <cell r="C35" t="str">
            <v>Công Trình</v>
          </cell>
          <cell r="D35" t="str">
            <v>8621765075</v>
          </cell>
          <cell r="E35">
            <v>5008000</v>
          </cell>
          <cell r="F35">
            <v>400640</v>
          </cell>
          <cell r="G35">
            <v>876400</v>
          </cell>
          <cell r="H35">
            <v>75120</v>
          </cell>
          <cell r="I35">
            <v>150240</v>
          </cell>
          <cell r="J35">
            <v>50080</v>
          </cell>
          <cell r="K35">
            <v>50080</v>
          </cell>
          <cell r="L35">
            <v>525840</v>
          </cell>
          <cell r="M35">
            <v>1076720</v>
          </cell>
          <cell r="N35">
            <v>1602560</v>
          </cell>
          <cell r="O35" t="str">
            <v>T01/2022</v>
          </cell>
        </row>
        <row r="36">
          <cell r="B36" t="str">
            <v>Phan Phú Trường</v>
          </cell>
          <cell r="C36" t="str">
            <v>Công Trình</v>
          </cell>
          <cell r="D36" t="str">
            <v>8622459133</v>
          </cell>
          <cell r="E36">
            <v>5008000</v>
          </cell>
          <cell r="F36">
            <v>400640</v>
          </cell>
          <cell r="G36">
            <v>876400</v>
          </cell>
          <cell r="H36">
            <v>75120</v>
          </cell>
          <cell r="I36">
            <v>150240</v>
          </cell>
          <cell r="J36">
            <v>50080</v>
          </cell>
          <cell r="K36">
            <v>50080</v>
          </cell>
          <cell r="L36">
            <v>525840</v>
          </cell>
          <cell r="M36">
            <v>1076720</v>
          </cell>
          <cell r="N36">
            <v>1602560</v>
          </cell>
          <cell r="O36" t="str">
            <v>T01/2022</v>
          </cell>
        </row>
        <row r="37">
          <cell r="B37" t="str">
            <v>Ngô Điền Trung</v>
          </cell>
          <cell r="C37" t="str">
            <v>Công Trình</v>
          </cell>
          <cell r="D37">
            <v>8223939415</v>
          </cell>
          <cell r="E37">
            <v>5008000</v>
          </cell>
          <cell r="F37">
            <v>400640</v>
          </cell>
          <cell r="G37">
            <v>876400</v>
          </cell>
          <cell r="H37">
            <v>75120</v>
          </cell>
          <cell r="I37">
            <v>150240</v>
          </cell>
          <cell r="J37">
            <v>50080</v>
          </cell>
          <cell r="K37">
            <v>50080</v>
          </cell>
          <cell r="L37">
            <v>525840</v>
          </cell>
          <cell r="M37">
            <v>1076720</v>
          </cell>
          <cell r="N37">
            <v>1602560</v>
          </cell>
          <cell r="O37" t="str">
            <v>T07/2022</v>
          </cell>
        </row>
        <row r="38">
          <cell r="B38" t="str">
            <v>Nguyễn Ngọc Quý</v>
          </cell>
          <cell r="C38" t="str">
            <v>Công Trình</v>
          </cell>
          <cell r="D38">
            <v>7424616908</v>
          </cell>
          <cell r="E38">
            <v>5008000</v>
          </cell>
          <cell r="F38">
            <v>400640</v>
          </cell>
          <cell r="G38">
            <v>876400</v>
          </cell>
          <cell r="H38">
            <v>75120</v>
          </cell>
          <cell r="I38">
            <v>150240</v>
          </cell>
          <cell r="J38">
            <v>50080</v>
          </cell>
          <cell r="K38">
            <v>50080</v>
          </cell>
          <cell r="L38">
            <v>525840</v>
          </cell>
          <cell r="M38">
            <v>1076720</v>
          </cell>
          <cell r="N38">
            <v>1602560</v>
          </cell>
          <cell r="O38" t="str">
            <v>T08/2022</v>
          </cell>
        </row>
        <row r="39">
          <cell r="B39" t="str">
            <v>Lưu Văn Lưỡng</v>
          </cell>
          <cell r="C39" t="str">
            <v>Công Trình</v>
          </cell>
          <cell r="D39">
            <v>8622069412</v>
          </cell>
          <cell r="E39">
            <v>5008000</v>
          </cell>
          <cell r="F39">
            <v>400640</v>
          </cell>
          <cell r="G39">
            <v>876400</v>
          </cell>
          <cell r="H39">
            <v>75120</v>
          </cell>
          <cell r="I39">
            <v>150240</v>
          </cell>
          <cell r="J39">
            <v>50080</v>
          </cell>
          <cell r="K39">
            <v>50080</v>
          </cell>
          <cell r="L39">
            <v>525840</v>
          </cell>
          <cell r="M39">
            <v>1076720</v>
          </cell>
          <cell r="N39">
            <v>1602560</v>
          </cell>
          <cell r="O39" t="str">
            <v>T09/2022</v>
          </cell>
        </row>
        <row r="40">
          <cell r="B40" t="str">
            <v>Lê Văn Thịnh</v>
          </cell>
          <cell r="C40" t="str">
            <v>Công Trình</v>
          </cell>
          <cell r="D40">
            <v>7916367294</v>
          </cell>
          <cell r="E40">
            <v>5008000</v>
          </cell>
          <cell r="F40">
            <v>400640</v>
          </cell>
          <cell r="G40">
            <v>876400</v>
          </cell>
          <cell r="H40">
            <v>75120</v>
          </cell>
          <cell r="I40">
            <v>150240</v>
          </cell>
          <cell r="J40">
            <v>50080</v>
          </cell>
          <cell r="K40">
            <v>50080</v>
          </cell>
          <cell r="L40">
            <v>525840</v>
          </cell>
          <cell r="M40">
            <v>1076720</v>
          </cell>
          <cell r="N40">
            <v>1602560</v>
          </cell>
          <cell r="O40" t="str">
            <v>T09/2022</v>
          </cell>
        </row>
        <row r="41">
          <cell r="B41" t="str">
            <v>Lê Trọng Nghĩa</v>
          </cell>
          <cell r="C41" t="str">
            <v>Công Trình</v>
          </cell>
          <cell r="D41">
            <v>8223397024</v>
          </cell>
          <cell r="E41">
            <v>5008000</v>
          </cell>
          <cell r="F41">
            <v>400640</v>
          </cell>
          <cell r="G41">
            <v>876400</v>
          </cell>
          <cell r="H41">
            <v>75120</v>
          </cell>
          <cell r="I41">
            <v>150240</v>
          </cell>
          <cell r="J41">
            <v>50080</v>
          </cell>
          <cell r="K41">
            <v>50080</v>
          </cell>
          <cell r="L41">
            <v>525840</v>
          </cell>
          <cell r="M41">
            <v>1076720</v>
          </cell>
          <cell r="N41">
            <v>1602560</v>
          </cell>
          <cell r="O41" t="str">
            <v>T09/2022</v>
          </cell>
        </row>
        <row r="42">
          <cell r="B42" t="str">
            <v>Nguyễn Dũng</v>
          </cell>
          <cell r="C42" t="str">
            <v>Văn Phòng</v>
          </cell>
          <cell r="D42">
            <v>7020937168</v>
          </cell>
          <cell r="E42">
            <v>5008000</v>
          </cell>
          <cell r="F42">
            <v>400640</v>
          </cell>
          <cell r="G42">
            <v>876400</v>
          </cell>
          <cell r="H42">
            <v>75120</v>
          </cell>
          <cell r="I42">
            <v>150240</v>
          </cell>
          <cell r="J42">
            <v>50080</v>
          </cell>
          <cell r="K42">
            <v>50080</v>
          </cell>
          <cell r="L42">
            <v>525840</v>
          </cell>
          <cell r="M42">
            <v>1076720</v>
          </cell>
          <cell r="N42">
            <v>1602560</v>
          </cell>
          <cell r="O42" t="str">
            <v>T01/2023</v>
          </cell>
        </row>
        <row r="43">
          <cell r="B43" t="str">
            <v>Lý Hoàng Duyên</v>
          </cell>
          <cell r="C43" t="str">
            <v>Công Trình</v>
          </cell>
          <cell r="D43">
            <v>8621944848</v>
          </cell>
          <cell r="E43">
            <v>5008000</v>
          </cell>
          <cell r="F43">
            <v>400640</v>
          </cell>
          <cell r="G43">
            <v>876400</v>
          </cell>
          <cell r="H43">
            <v>75120</v>
          </cell>
          <cell r="I43">
            <v>150240</v>
          </cell>
          <cell r="J43">
            <v>50080</v>
          </cell>
          <cell r="K43">
            <v>50080</v>
          </cell>
          <cell r="L43">
            <v>525840</v>
          </cell>
          <cell r="M43">
            <v>1076720</v>
          </cell>
          <cell r="N43">
            <v>1602560</v>
          </cell>
          <cell r="O43" t="str">
            <v>T04/2023</v>
          </cell>
        </row>
        <row r="44">
          <cell r="B44" t="str">
            <v>Nguyễn Thanh Hải</v>
          </cell>
          <cell r="C44" t="str">
            <v>Công Trình</v>
          </cell>
          <cell r="D44">
            <v>7911175850</v>
          </cell>
          <cell r="E44">
            <v>5008000</v>
          </cell>
          <cell r="F44">
            <v>400640</v>
          </cell>
          <cell r="G44">
            <v>876400</v>
          </cell>
          <cell r="H44">
            <v>75120</v>
          </cell>
          <cell r="I44">
            <v>150240</v>
          </cell>
          <cell r="J44">
            <v>50080</v>
          </cell>
          <cell r="K44">
            <v>50080</v>
          </cell>
          <cell r="L44">
            <v>525840</v>
          </cell>
          <cell r="M44">
            <v>1076720</v>
          </cell>
          <cell r="N44">
            <v>1602560</v>
          </cell>
          <cell r="O44" t="str">
            <v>T06/2023</v>
          </cell>
        </row>
        <row r="45">
          <cell r="B45" t="str">
            <v>Nguyễn Tuấn Anh</v>
          </cell>
          <cell r="C45" t="str">
            <v>Công Trình</v>
          </cell>
          <cell r="D45">
            <v>7931911271</v>
          </cell>
          <cell r="E45">
            <v>5008000</v>
          </cell>
          <cell r="F45">
            <v>400640</v>
          </cell>
          <cell r="G45">
            <v>876400</v>
          </cell>
          <cell r="H45">
            <v>75120</v>
          </cell>
          <cell r="I45">
            <v>150240</v>
          </cell>
          <cell r="J45">
            <v>50080</v>
          </cell>
          <cell r="K45">
            <v>50080</v>
          </cell>
          <cell r="L45">
            <v>525840</v>
          </cell>
          <cell r="M45">
            <v>1076720</v>
          </cell>
          <cell r="N45">
            <v>1602560</v>
          </cell>
          <cell r="O45" t="str">
            <v>T07/2023</v>
          </cell>
        </row>
        <row r="46">
          <cell r="B46" t="str">
            <v>Phạm Ngọc Hưng</v>
          </cell>
          <cell r="C46" t="str">
            <v>Văn Phòng</v>
          </cell>
          <cell r="D46" t="str">
            <v>7910384760</v>
          </cell>
          <cell r="E46">
            <v>5008000</v>
          </cell>
          <cell r="F46">
            <v>400640</v>
          </cell>
          <cell r="G46">
            <v>876400</v>
          </cell>
          <cell r="H46">
            <v>75120</v>
          </cell>
          <cell r="I46">
            <v>150240</v>
          </cell>
          <cell r="J46">
            <v>50080</v>
          </cell>
          <cell r="K46">
            <v>50080</v>
          </cell>
          <cell r="L46">
            <v>525840</v>
          </cell>
          <cell r="M46">
            <v>1076720</v>
          </cell>
          <cell r="N46">
            <v>1602560</v>
          </cell>
          <cell r="O46" t="str">
            <v>T07/2023</v>
          </cell>
        </row>
        <row r="47">
          <cell r="B47" t="str">
            <v>Nguyễn Văn Phòng</v>
          </cell>
          <cell r="C47" t="str">
            <v>Công Trình</v>
          </cell>
          <cell r="D47">
            <v>9121673734</v>
          </cell>
          <cell r="E47">
            <v>5008000</v>
          </cell>
          <cell r="F47">
            <v>400640</v>
          </cell>
          <cell r="G47">
            <v>876400</v>
          </cell>
          <cell r="H47">
            <v>75120</v>
          </cell>
          <cell r="I47">
            <v>150240</v>
          </cell>
          <cell r="J47">
            <v>50080</v>
          </cell>
          <cell r="K47">
            <v>50080</v>
          </cell>
          <cell r="L47">
            <v>525840</v>
          </cell>
          <cell r="M47">
            <v>1076720</v>
          </cell>
          <cell r="N47">
            <v>1602560</v>
          </cell>
          <cell r="O47" t="str">
            <v>T08/2023</v>
          </cell>
        </row>
        <row r="48">
          <cell r="B48" t="str">
            <v>Nguyễn Công Minh</v>
          </cell>
          <cell r="C48" t="str">
            <v>Công Trình</v>
          </cell>
          <cell r="D48" t="str">
            <v>0205188144</v>
          </cell>
          <cell r="E48">
            <v>5008000</v>
          </cell>
          <cell r="F48">
            <v>400640</v>
          </cell>
          <cell r="G48">
            <v>876400</v>
          </cell>
          <cell r="H48">
            <v>75120</v>
          </cell>
          <cell r="I48">
            <v>150240</v>
          </cell>
          <cell r="J48">
            <v>50080</v>
          </cell>
          <cell r="K48">
            <v>50080</v>
          </cell>
          <cell r="L48">
            <v>525840</v>
          </cell>
          <cell r="M48">
            <v>1076720</v>
          </cell>
          <cell r="N48">
            <v>1602560</v>
          </cell>
          <cell r="O48" t="str">
            <v>T08/2023</v>
          </cell>
        </row>
        <row r="49">
          <cell r="B49" t="str">
            <v>Mang Thị Đức Nhơn</v>
          </cell>
          <cell r="C49" t="str">
            <v>Văn Phòng</v>
          </cell>
          <cell r="D49" t="str">
            <v>0203282812</v>
          </cell>
          <cell r="E49">
            <v>5008000</v>
          </cell>
          <cell r="F49">
            <v>400640</v>
          </cell>
          <cell r="G49">
            <v>876400</v>
          </cell>
          <cell r="H49">
            <v>75120</v>
          </cell>
          <cell r="I49">
            <v>150240</v>
          </cell>
          <cell r="J49">
            <v>50080</v>
          </cell>
          <cell r="K49">
            <v>50080</v>
          </cell>
          <cell r="L49">
            <v>525840</v>
          </cell>
          <cell r="M49">
            <v>1076720</v>
          </cell>
          <cell r="N49">
            <v>1602560</v>
          </cell>
          <cell r="O49" t="str">
            <v>T09/2023</v>
          </cell>
        </row>
        <row r="50">
          <cell r="B50" t="str">
            <v>Lê Thế Quyền</v>
          </cell>
          <cell r="C50" t="str">
            <v>Công Trình</v>
          </cell>
          <cell r="D50" t="str">
            <v>5220719707</v>
          </cell>
          <cell r="E50">
            <v>5008000</v>
          </cell>
          <cell r="F50">
            <v>400640</v>
          </cell>
          <cell r="G50">
            <v>876400</v>
          </cell>
          <cell r="H50">
            <v>75120</v>
          </cell>
          <cell r="I50">
            <v>150240</v>
          </cell>
          <cell r="J50">
            <v>50080</v>
          </cell>
          <cell r="K50">
            <v>50080</v>
          </cell>
          <cell r="L50">
            <v>525840</v>
          </cell>
          <cell r="M50">
            <v>1076720</v>
          </cell>
          <cell r="N50">
            <v>1602560</v>
          </cell>
          <cell r="O50" t="str">
            <v>T09/2023</v>
          </cell>
        </row>
        <row r="51">
          <cell r="B51" t="str">
            <v>Đặng Hoàng Nhựt Thắng</v>
          </cell>
          <cell r="C51" t="str">
            <v>Văn Phòng</v>
          </cell>
          <cell r="D51" t="str">
            <v>9621265242</v>
          </cell>
          <cell r="E51">
            <v>5008000</v>
          </cell>
          <cell r="F51">
            <v>400640</v>
          </cell>
          <cell r="G51">
            <v>876400</v>
          </cell>
          <cell r="H51">
            <v>75120</v>
          </cell>
          <cell r="I51">
            <v>150240</v>
          </cell>
          <cell r="J51">
            <v>50080</v>
          </cell>
          <cell r="K51">
            <v>50080</v>
          </cell>
          <cell r="L51">
            <v>525840</v>
          </cell>
          <cell r="M51">
            <v>1076720</v>
          </cell>
          <cell r="N51">
            <v>1602560</v>
          </cell>
          <cell r="O51" t="str">
            <v>T09/2023</v>
          </cell>
        </row>
        <row r="52">
          <cell r="B52" t="str">
            <v>Nguyễn Thanh Vũ</v>
          </cell>
          <cell r="C52" t="str">
            <v>Công Trình</v>
          </cell>
          <cell r="D52" t="str">
            <v>8621245422</v>
          </cell>
          <cell r="E52">
            <v>5008000</v>
          </cell>
          <cell r="F52">
            <v>400640</v>
          </cell>
          <cell r="G52">
            <v>876400</v>
          </cell>
          <cell r="H52">
            <v>75120</v>
          </cell>
          <cell r="I52">
            <v>150240</v>
          </cell>
          <cell r="J52">
            <v>50080</v>
          </cell>
          <cell r="K52">
            <v>50080</v>
          </cell>
          <cell r="L52">
            <v>525840</v>
          </cell>
          <cell r="M52">
            <v>1076720</v>
          </cell>
          <cell r="N52">
            <v>1602560</v>
          </cell>
          <cell r="O52" t="str">
            <v>T09/2023</v>
          </cell>
        </row>
        <row r="53">
          <cell r="B53" t="str">
            <v>Đậu Bá Linh</v>
          </cell>
          <cell r="C53" t="str">
            <v>Công Trình</v>
          </cell>
          <cell r="D53">
            <v>9794789177</v>
          </cell>
          <cell r="E53">
            <v>5008000</v>
          </cell>
          <cell r="F53">
            <v>400640</v>
          </cell>
          <cell r="G53">
            <v>876400</v>
          </cell>
          <cell r="H53">
            <v>75120</v>
          </cell>
          <cell r="I53">
            <v>150240</v>
          </cell>
          <cell r="J53">
            <v>50080</v>
          </cell>
          <cell r="K53">
            <v>50080</v>
          </cell>
          <cell r="L53">
            <v>525840</v>
          </cell>
          <cell r="M53">
            <v>1076720</v>
          </cell>
          <cell r="N53">
            <v>1602560</v>
          </cell>
          <cell r="O53" t="str">
            <v>T10/2023</v>
          </cell>
        </row>
        <row r="54">
          <cell r="B54" t="str">
            <v>Nguyễn Minh Quân</v>
          </cell>
          <cell r="C54" t="str">
            <v>Công Trình</v>
          </cell>
          <cell r="D54">
            <v>9521462568</v>
          </cell>
          <cell r="E54">
            <v>5008000</v>
          </cell>
          <cell r="F54">
            <v>400640</v>
          </cell>
          <cell r="G54">
            <v>876400</v>
          </cell>
          <cell r="H54">
            <v>75120</v>
          </cell>
          <cell r="I54">
            <v>150240</v>
          </cell>
          <cell r="J54">
            <v>50080</v>
          </cell>
          <cell r="K54">
            <v>50080</v>
          </cell>
          <cell r="L54">
            <v>525840</v>
          </cell>
          <cell r="M54">
            <v>1076720</v>
          </cell>
          <cell r="N54">
            <v>1602560</v>
          </cell>
          <cell r="O54" t="str">
            <v>T10/2023</v>
          </cell>
        </row>
        <row r="55">
          <cell r="B55" t="str">
            <v>Phan Hoàng Hận</v>
          </cell>
          <cell r="C55" t="str">
            <v>Công Trình</v>
          </cell>
          <cell r="D55">
            <v>8621811812</v>
          </cell>
          <cell r="E55">
            <v>5008000</v>
          </cell>
          <cell r="F55">
            <v>400640</v>
          </cell>
          <cell r="G55">
            <v>876400</v>
          </cell>
          <cell r="H55">
            <v>75120</v>
          </cell>
          <cell r="I55">
            <v>150240</v>
          </cell>
          <cell r="J55">
            <v>50080</v>
          </cell>
          <cell r="K55">
            <v>50080</v>
          </cell>
          <cell r="L55">
            <v>525840</v>
          </cell>
          <cell r="M55">
            <v>1076720</v>
          </cell>
          <cell r="N55">
            <v>1602560</v>
          </cell>
          <cell r="O55" t="str">
            <v>T11/2023</v>
          </cell>
        </row>
        <row r="56">
          <cell r="B56" t="str">
            <v>Lê Công Bảo</v>
          </cell>
          <cell r="C56" t="str">
            <v>Công Trình</v>
          </cell>
          <cell r="D56">
            <v>5221391020</v>
          </cell>
          <cell r="E56">
            <v>5008000</v>
          </cell>
          <cell r="F56">
            <v>400640</v>
          </cell>
          <cell r="G56">
            <v>876400</v>
          </cell>
          <cell r="H56">
            <v>75120</v>
          </cell>
          <cell r="I56">
            <v>150240</v>
          </cell>
          <cell r="J56">
            <v>50080</v>
          </cell>
          <cell r="K56">
            <v>50080</v>
          </cell>
          <cell r="L56">
            <v>525840</v>
          </cell>
          <cell r="M56">
            <v>1076720</v>
          </cell>
          <cell r="N56">
            <v>1602560</v>
          </cell>
          <cell r="O56" t="str">
            <v>T12/2023</v>
          </cell>
        </row>
        <row r="57">
          <cell r="B57" t="str">
            <v>Nguyễn Trường An</v>
          </cell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 t="str">
            <v>T03/2024</v>
          </cell>
        </row>
        <row r="58">
          <cell r="B58" t="str">
            <v>Nguyễn Minh Hiếu</v>
          </cell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 t="str">
            <v>T03/2024</v>
          </cell>
        </row>
      </sheetData>
      <sheetData sheetId="29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ngiaphatxd@gmail.com" TargetMode="External"/><Relationship Id="rId13" Type="http://schemas.openxmlformats.org/officeDocument/2006/relationships/hyperlink" Target="mailto:Thaivantrixd@gmail.com" TargetMode="External"/><Relationship Id="rId3" Type="http://schemas.openxmlformats.org/officeDocument/2006/relationships/hyperlink" Target="mailto:phongnguyen291994@gmail.com" TargetMode="External"/><Relationship Id="rId7" Type="http://schemas.openxmlformats.org/officeDocument/2006/relationships/hyperlink" Target="mailto:nhienpham82@gmail.com" TargetMode="External"/><Relationship Id="rId12" Type="http://schemas.openxmlformats.org/officeDocument/2006/relationships/hyperlink" Target="mailto:janele1985@gmail.com" TargetMode="External"/><Relationship Id="rId2" Type="http://schemas.openxmlformats.org/officeDocument/2006/relationships/hyperlink" Target="mailto:ngocnb2407@gmail.com" TargetMode="External"/><Relationship Id="rId16" Type="http://schemas.openxmlformats.org/officeDocument/2006/relationships/comments" Target="../comments1.xml"/><Relationship Id="rId1" Type="http://schemas.openxmlformats.org/officeDocument/2006/relationships/hyperlink" Target="mailto:minhnghichaudoc@gmail.com" TargetMode="External"/><Relationship Id="rId6" Type="http://schemas.openxmlformats.org/officeDocument/2006/relationships/hyperlink" Target="mailto:dongvanthach010174@gmail.com" TargetMode="External"/><Relationship Id="rId11" Type="http://schemas.openxmlformats.org/officeDocument/2006/relationships/hyperlink" Target="mailto:minhtho7989@gmail.com" TargetMode="External"/><Relationship Id="rId5" Type="http://schemas.openxmlformats.org/officeDocument/2006/relationships/hyperlink" Target="mailto:Quoctrixdtd@gmail.com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mailto:thanhbinhtp2023@gmail.com" TargetMode="External"/><Relationship Id="rId4" Type="http://schemas.openxmlformats.org/officeDocument/2006/relationships/hyperlink" Target="mailto:Hieunmdtcs@gmail.com" TargetMode="External"/><Relationship Id="rId9" Type="http://schemas.openxmlformats.org/officeDocument/2006/relationships/hyperlink" Target="mailto:ledung.a9@gmail.com" TargetMode="External"/><Relationship Id="rId1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hyperlink" Target="mailto:ducnhon2007@yahoo.com.vn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mailto:ngminhquang0904@gmail.com" TargetMode="External"/><Relationship Id="rId1" Type="http://schemas.openxmlformats.org/officeDocument/2006/relationships/hyperlink" Target="mailto:Pqthai27@gmail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nguyenngoctoan.n2t@gmail.com" TargetMode="External"/><Relationship Id="rId4" Type="http://schemas.openxmlformats.org/officeDocument/2006/relationships/hyperlink" Target="mailto:vuongtvt.thanhphuxd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7089E-F6BD-4132-BF6F-4510744EAE62}">
  <dimension ref="A3:C33"/>
  <sheetViews>
    <sheetView workbookViewId="0">
      <selection activeCell="B10" sqref="B10"/>
    </sheetView>
  </sheetViews>
  <sheetFormatPr defaultColWidth="9.109375" defaultRowHeight="13.2" x14ac:dyDescent="0.25"/>
  <cols>
    <col min="1" max="1" width="5.6640625" style="110" customWidth="1"/>
    <col min="2" max="2" width="42.109375" style="110" customWidth="1"/>
    <col min="3" max="3" width="74" style="110" customWidth="1"/>
    <col min="4" max="16384" width="9.109375" style="110"/>
  </cols>
  <sheetData>
    <row r="3" spans="1:3" s="106" customFormat="1" ht="22.5" customHeight="1" x14ac:dyDescent="0.25">
      <c r="A3" s="116" t="s">
        <v>794</v>
      </c>
      <c r="B3" s="117" t="s">
        <v>1685</v>
      </c>
      <c r="C3" s="117" t="s">
        <v>1686</v>
      </c>
    </row>
    <row r="4" spans="1:3" s="108" customFormat="1" ht="21.75" customHeight="1" x14ac:dyDescent="0.25">
      <c r="A4" s="107">
        <v>1</v>
      </c>
      <c r="B4" s="107" t="s">
        <v>1687</v>
      </c>
      <c r="C4" s="107" t="s">
        <v>1699</v>
      </c>
    </row>
    <row r="5" spans="1:3" s="108" customFormat="1" ht="21.75" customHeight="1" x14ac:dyDescent="0.25">
      <c r="A5" s="107">
        <f>A4+1</f>
        <v>2</v>
      </c>
      <c r="B5" s="107" t="s">
        <v>1688</v>
      </c>
      <c r="C5" s="107" t="s">
        <v>1700</v>
      </c>
    </row>
    <row r="6" spans="1:3" s="108" customFormat="1" ht="21.75" customHeight="1" x14ac:dyDescent="0.25">
      <c r="A6" s="107">
        <f t="shared" ref="A6:A9" si="0">A5+1</f>
        <v>3</v>
      </c>
      <c r="B6" s="107" t="s">
        <v>1689</v>
      </c>
      <c r="C6" s="107"/>
    </row>
    <row r="7" spans="1:3" s="108" customFormat="1" ht="21.75" customHeight="1" x14ac:dyDescent="0.25">
      <c r="A7" s="107">
        <f t="shared" si="0"/>
        <v>4</v>
      </c>
      <c r="B7" s="107" t="s">
        <v>1773</v>
      </c>
      <c r="C7" s="107" t="s">
        <v>1774</v>
      </c>
    </row>
    <row r="8" spans="1:3" s="108" customFormat="1" ht="21.75" customHeight="1" x14ac:dyDescent="0.25">
      <c r="A8" s="107">
        <f t="shared" si="0"/>
        <v>5</v>
      </c>
      <c r="B8" s="107" t="s">
        <v>1690</v>
      </c>
      <c r="C8" s="107" t="s">
        <v>1701</v>
      </c>
    </row>
    <row r="9" spans="1:3" s="108" customFormat="1" ht="21.75" customHeight="1" x14ac:dyDescent="0.25">
      <c r="A9" s="107">
        <f t="shared" si="0"/>
        <v>6</v>
      </c>
      <c r="B9" s="107" t="s">
        <v>1691</v>
      </c>
      <c r="C9" s="107" t="s">
        <v>1702</v>
      </c>
    </row>
    <row r="10" spans="1:3" ht="21.75" customHeight="1" x14ac:dyDescent="0.25">
      <c r="A10" s="109"/>
      <c r="B10" s="109"/>
      <c r="C10" s="109"/>
    </row>
    <row r="11" spans="1:3" ht="21.75" customHeight="1" x14ac:dyDescent="0.25">
      <c r="A11" s="109"/>
      <c r="B11" s="109"/>
      <c r="C11" s="109"/>
    </row>
    <row r="12" spans="1:3" ht="21.75" customHeight="1" x14ac:dyDescent="0.25">
      <c r="A12" s="109"/>
      <c r="B12" s="109"/>
      <c r="C12" s="109"/>
    </row>
    <row r="13" spans="1:3" ht="21.75" customHeight="1" x14ac:dyDescent="0.25">
      <c r="A13" s="109"/>
      <c r="B13" s="109"/>
      <c r="C13" s="109"/>
    </row>
    <row r="14" spans="1:3" ht="21.75" customHeight="1" x14ac:dyDescent="0.25">
      <c r="A14" s="109"/>
      <c r="B14" s="109"/>
      <c r="C14" s="109"/>
    </row>
    <row r="15" spans="1:3" ht="21.75" customHeight="1" x14ac:dyDescent="0.25">
      <c r="A15" s="109"/>
      <c r="B15" s="109"/>
      <c r="C15" s="109"/>
    </row>
    <row r="16" spans="1:3" ht="21.75" customHeight="1" x14ac:dyDescent="0.25">
      <c r="A16" s="109"/>
      <c r="B16" s="109"/>
      <c r="C16" s="109"/>
    </row>
    <row r="17" spans="1:3" ht="21.75" customHeight="1" x14ac:dyDescent="0.25">
      <c r="A17" s="109"/>
      <c r="B17" s="109"/>
      <c r="C17" s="109"/>
    </row>
    <row r="18" spans="1:3" ht="21.75" customHeight="1" x14ac:dyDescent="0.25">
      <c r="A18" s="109"/>
      <c r="B18" s="109"/>
      <c r="C18" s="109"/>
    </row>
    <row r="19" spans="1:3" ht="21.75" customHeight="1" x14ac:dyDescent="0.25">
      <c r="A19" s="109"/>
      <c r="B19" s="109"/>
      <c r="C19" s="109"/>
    </row>
    <row r="20" spans="1:3" ht="21.75" customHeight="1" x14ac:dyDescent="0.25">
      <c r="A20" s="109"/>
      <c r="B20" s="109"/>
      <c r="C20" s="109"/>
    </row>
    <row r="21" spans="1:3" ht="21.75" customHeight="1" x14ac:dyDescent="0.25">
      <c r="A21" s="109"/>
      <c r="B21" s="109"/>
      <c r="C21" s="109"/>
    </row>
    <row r="22" spans="1:3" ht="21.75" customHeight="1" x14ac:dyDescent="0.25">
      <c r="A22" s="109"/>
      <c r="B22" s="109"/>
      <c r="C22" s="109"/>
    </row>
    <row r="23" spans="1:3" ht="21.75" customHeight="1" x14ac:dyDescent="0.25">
      <c r="A23" s="109"/>
      <c r="B23" s="109"/>
      <c r="C23" s="109"/>
    </row>
    <row r="24" spans="1:3" ht="21.75" customHeight="1" x14ac:dyDescent="0.25">
      <c r="A24" s="109"/>
      <c r="B24" s="109"/>
      <c r="C24" s="109"/>
    </row>
    <row r="25" spans="1:3" ht="21.75" customHeight="1" x14ac:dyDescent="0.25">
      <c r="A25" s="109"/>
      <c r="B25" s="109"/>
      <c r="C25" s="109"/>
    </row>
    <row r="26" spans="1:3" ht="21.75" customHeight="1" x14ac:dyDescent="0.25">
      <c r="A26" s="109"/>
      <c r="B26" s="109"/>
      <c r="C26" s="109"/>
    </row>
    <row r="27" spans="1:3" ht="21.75" customHeight="1" x14ac:dyDescent="0.25">
      <c r="A27" s="109"/>
      <c r="B27" s="109"/>
      <c r="C27" s="109"/>
    </row>
    <row r="28" spans="1:3" ht="21.75" customHeight="1" x14ac:dyDescent="0.25">
      <c r="A28" s="109"/>
      <c r="B28" s="109"/>
      <c r="C28" s="109"/>
    </row>
    <row r="29" spans="1:3" ht="21.75" customHeight="1" x14ac:dyDescent="0.25">
      <c r="A29" s="109"/>
      <c r="B29" s="109"/>
      <c r="C29" s="109"/>
    </row>
    <row r="30" spans="1:3" ht="21.75" customHeight="1" x14ac:dyDescent="0.25">
      <c r="A30" s="109"/>
      <c r="B30" s="109"/>
      <c r="C30" s="109"/>
    </row>
    <row r="31" spans="1:3" ht="21.75" customHeight="1" x14ac:dyDescent="0.25">
      <c r="A31" s="109"/>
      <c r="B31" s="109"/>
      <c r="C31" s="109"/>
    </row>
    <row r="32" spans="1:3" ht="21.75" customHeight="1" x14ac:dyDescent="0.25">
      <c r="A32" s="109"/>
      <c r="B32" s="109"/>
      <c r="C32" s="109"/>
    </row>
    <row r="33" spans="1:3" ht="21.75" customHeight="1" x14ac:dyDescent="0.25">
      <c r="A33" s="109"/>
      <c r="B33" s="109"/>
      <c r="C33" s="10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BG671"/>
  <sheetViews>
    <sheetView tabSelected="1" zoomScaleNormal="100" workbookViewId="0">
      <pane xSplit="3" ySplit="3" topLeftCell="D60" activePane="bottomRight" state="frozen"/>
      <selection pane="topRight" activeCell="C1" sqref="C1"/>
      <selection pane="bottomLeft" activeCell="A4" sqref="A4"/>
      <selection pane="bottomRight" activeCell="J65" sqref="J65"/>
    </sheetView>
  </sheetViews>
  <sheetFormatPr defaultColWidth="14.44140625" defaultRowHeight="15.75" customHeight="1" x14ac:dyDescent="0.25"/>
  <cols>
    <col min="1" max="1" width="6.44140625" style="72" customWidth="1"/>
    <col min="2" max="2" width="9" style="72" customWidth="1"/>
    <col min="3" max="3" width="23.33203125" style="53" bestFit="1" customWidth="1"/>
    <col min="4" max="4" width="10.5546875" style="53" customWidth="1"/>
    <col min="5" max="5" width="11.88671875" style="74" customWidth="1"/>
    <col min="6" max="6" width="8.44140625" style="75" customWidth="1"/>
    <col min="7" max="7" width="16.33203125" style="76" customWidth="1"/>
    <col min="8" max="8" width="19" style="54" customWidth="1"/>
    <col min="9" max="9" width="21.5546875" style="77" customWidth="1"/>
    <col min="10" max="10" width="63.6640625" style="53" customWidth="1"/>
    <col min="11" max="11" width="60.5546875" style="53" customWidth="1"/>
    <col min="12" max="13" width="21.5546875" style="81" customWidth="1"/>
    <col min="14" max="14" width="21.5546875" style="53" customWidth="1"/>
    <col min="15" max="15" width="24" style="78" customWidth="1"/>
    <col min="16" max="16" width="0.33203125" style="78" customWidth="1"/>
    <col min="17" max="17" width="21.5546875" style="53" customWidth="1"/>
    <col min="18" max="18" width="11.6640625" style="53" customWidth="1"/>
    <col min="19" max="19" width="14.88671875" style="79" customWidth="1"/>
    <col min="20" max="20" width="29.6640625" style="80" customWidth="1"/>
    <col min="21" max="21" width="27.6640625" style="53" customWidth="1"/>
    <col min="22" max="22" width="13" style="53" customWidth="1"/>
    <col min="23" max="23" width="23.33203125" style="53" customWidth="1"/>
    <col min="24" max="24" width="26.44140625" style="53" customWidth="1"/>
    <col min="25" max="25" width="32.109375" style="81" customWidth="1"/>
    <col min="26" max="26" width="35.6640625" style="81" customWidth="1"/>
    <col min="27" max="27" width="32.33203125" style="53" customWidth="1"/>
    <col min="28" max="28" width="16" style="72" customWidth="1"/>
    <col min="29" max="29" width="18.5546875" style="72" customWidth="1"/>
    <col min="30" max="30" width="14.44140625" style="82" customWidth="1"/>
    <col min="31" max="31" width="7.109375" style="72" customWidth="1"/>
    <col min="32" max="32" width="14.44140625" style="29" customWidth="1"/>
    <col min="33" max="33" width="18.5546875" style="29" customWidth="1"/>
    <col min="34" max="34" width="7.109375" style="29" customWidth="1"/>
    <col min="35" max="41" width="18.5546875" style="29" customWidth="1"/>
    <col min="42" max="42" width="15.109375" style="79" customWidth="1"/>
    <col min="43" max="44" width="15" style="47" customWidth="1"/>
    <col min="45" max="45" width="66" style="47" customWidth="1"/>
    <col min="46" max="46" width="14.6640625" style="43" customWidth="1"/>
    <col min="47" max="47" width="18.33203125" style="53" customWidth="1"/>
    <col min="48" max="48" width="18" style="53" customWidth="1"/>
    <col min="49" max="57" width="17.5546875" style="53" customWidth="1"/>
    <col min="58" max="58" width="14.6640625" style="53" bestFit="1" customWidth="1"/>
    <col min="59" max="59" width="9" style="72" customWidth="1"/>
    <col min="60" max="16384" width="14.44140625" style="53"/>
  </cols>
  <sheetData>
    <row r="1" spans="1:59" ht="15.75" customHeight="1" x14ac:dyDescent="0.25">
      <c r="A1" s="72">
        <v>1</v>
      </c>
      <c r="B1" s="53">
        <f t="shared" ref="B1:N1" si="0">A1+1</f>
        <v>2</v>
      </c>
      <c r="C1" s="72">
        <f t="shared" si="0"/>
        <v>3</v>
      </c>
      <c r="D1" s="72">
        <f t="shared" si="0"/>
        <v>4</v>
      </c>
      <c r="E1" s="72">
        <f t="shared" si="0"/>
        <v>5</v>
      </c>
      <c r="F1" s="72">
        <f t="shared" si="0"/>
        <v>6</v>
      </c>
      <c r="G1" s="72">
        <f t="shared" si="0"/>
        <v>7</v>
      </c>
      <c r="H1" s="72">
        <f t="shared" si="0"/>
        <v>8</v>
      </c>
      <c r="I1" s="72">
        <f t="shared" si="0"/>
        <v>9</v>
      </c>
      <c r="J1" s="72">
        <f t="shared" si="0"/>
        <v>10</v>
      </c>
      <c r="K1" s="72">
        <f t="shared" si="0"/>
        <v>11</v>
      </c>
      <c r="L1" s="72">
        <f t="shared" si="0"/>
        <v>12</v>
      </c>
      <c r="M1" s="72">
        <f t="shared" si="0"/>
        <v>13</v>
      </c>
      <c r="N1" s="72">
        <f t="shared" si="0"/>
        <v>14</v>
      </c>
      <c r="O1" s="72">
        <f t="shared" ref="O1" si="1">N1+1</f>
        <v>15</v>
      </c>
      <c r="P1" s="72">
        <f t="shared" ref="P1" si="2">O1+1</f>
        <v>16</v>
      </c>
      <c r="Q1" s="72">
        <f t="shared" ref="Q1" si="3">P1+1</f>
        <v>17</v>
      </c>
      <c r="R1" s="72">
        <f t="shared" ref="R1" si="4">Q1+1</f>
        <v>18</v>
      </c>
      <c r="S1" s="72">
        <f t="shared" ref="S1" si="5">R1+1</f>
        <v>19</v>
      </c>
      <c r="T1" s="72">
        <f t="shared" ref="T1" si="6">S1+1</f>
        <v>20</v>
      </c>
      <c r="U1" s="72">
        <f t="shared" ref="U1" si="7">T1+1</f>
        <v>21</v>
      </c>
      <c r="V1" s="72">
        <f t="shared" ref="V1" si="8">U1+1</f>
        <v>22</v>
      </c>
      <c r="W1" s="72">
        <f t="shared" ref="W1" si="9">V1+1</f>
        <v>23</v>
      </c>
      <c r="X1" s="72">
        <f t="shared" ref="X1" si="10">W1+1</f>
        <v>24</v>
      </c>
      <c r="Y1" s="72">
        <f t="shared" ref="Y1" si="11">X1+1</f>
        <v>25</v>
      </c>
      <c r="Z1" s="72">
        <f t="shared" ref="Z1" si="12">Y1+1</f>
        <v>26</v>
      </c>
      <c r="AA1" s="72">
        <f t="shared" ref="AA1" si="13">Z1+1</f>
        <v>27</v>
      </c>
      <c r="AB1" s="72">
        <f t="shared" ref="AB1" si="14">AA1+1</f>
        <v>28</v>
      </c>
      <c r="AC1" s="72">
        <f t="shared" ref="AC1" si="15">AB1+1</f>
        <v>29</v>
      </c>
      <c r="AD1" s="72">
        <f t="shared" ref="AD1" si="16">AC1+1</f>
        <v>30</v>
      </c>
      <c r="AE1" s="72">
        <f t="shared" ref="AE1" si="17">AD1+1</f>
        <v>31</v>
      </c>
      <c r="AF1" s="72">
        <f t="shared" ref="AF1" si="18">AE1+1</f>
        <v>32</v>
      </c>
      <c r="AG1" s="72">
        <f t="shared" ref="AG1" si="19">AF1+1</f>
        <v>33</v>
      </c>
      <c r="AH1" s="72">
        <f t="shared" ref="AH1" si="20">AG1+1</f>
        <v>34</v>
      </c>
      <c r="AI1" s="72">
        <f t="shared" ref="AI1" si="21">AH1+1</f>
        <v>35</v>
      </c>
      <c r="AJ1" s="72">
        <f t="shared" ref="AJ1" si="22">AI1+1</f>
        <v>36</v>
      </c>
      <c r="AK1" s="72">
        <f t="shared" ref="AK1" si="23">AJ1+1</f>
        <v>37</v>
      </c>
      <c r="AL1" s="72">
        <f t="shared" ref="AL1" si="24">AK1+1</f>
        <v>38</v>
      </c>
      <c r="AM1" s="72">
        <f t="shared" ref="AM1" si="25">AL1+1</f>
        <v>39</v>
      </c>
      <c r="AN1" s="72">
        <f t="shared" ref="AN1" si="26">AM1+1</f>
        <v>40</v>
      </c>
      <c r="AO1" s="72">
        <f t="shared" ref="AO1" si="27">AN1+1</f>
        <v>41</v>
      </c>
      <c r="AP1" s="72">
        <f t="shared" ref="AP1" si="28">AO1+1</f>
        <v>42</v>
      </c>
      <c r="AQ1" s="72">
        <f t="shared" ref="AQ1" si="29">AP1+1</f>
        <v>43</v>
      </c>
      <c r="AR1" s="72">
        <f t="shared" ref="AR1" si="30">AQ1+1</f>
        <v>44</v>
      </c>
      <c r="AS1" s="72">
        <f t="shared" ref="AS1" si="31">AR1+1</f>
        <v>45</v>
      </c>
      <c r="AT1" s="72">
        <f t="shared" ref="AT1" si="32">AS1+1</f>
        <v>46</v>
      </c>
      <c r="AU1" s="72">
        <f t="shared" ref="AU1" si="33">AT1+1</f>
        <v>47</v>
      </c>
      <c r="AV1" s="72">
        <f t="shared" ref="AV1" si="34">AU1+1</f>
        <v>48</v>
      </c>
      <c r="AW1" s="72">
        <f t="shared" ref="AW1" si="35">AV1+1</f>
        <v>49</v>
      </c>
      <c r="AX1" s="72">
        <f t="shared" ref="AX1" si="36">AW1+1</f>
        <v>50</v>
      </c>
      <c r="AY1" s="72">
        <f t="shared" ref="AY1" si="37">AX1+1</f>
        <v>51</v>
      </c>
      <c r="AZ1" s="72">
        <f t="shared" ref="AZ1" si="38">AY1+1</f>
        <v>52</v>
      </c>
      <c r="BA1" s="72">
        <f t="shared" ref="BA1" si="39">AZ1+1</f>
        <v>53</v>
      </c>
      <c r="BB1" s="72">
        <f t="shared" ref="BB1" si="40">BA1+1</f>
        <v>54</v>
      </c>
      <c r="BC1" s="72">
        <f t="shared" ref="BC1" si="41">BB1+1</f>
        <v>55</v>
      </c>
      <c r="BD1" s="72">
        <f t="shared" ref="BD1" si="42">BC1+1</f>
        <v>56</v>
      </c>
      <c r="BE1" s="72">
        <f t="shared" ref="BE1" si="43">BD1+1</f>
        <v>57</v>
      </c>
      <c r="BG1" s="72">
        <f>BF1+1</f>
        <v>1</v>
      </c>
    </row>
    <row r="2" spans="1:59" s="115" customFormat="1" ht="54" customHeight="1" x14ac:dyDescent="0.25">
      <c r="A2" s="119" t="s">
        <v>0</v>
      </c>
      <c r="B2" s="170" t="s">
        <v>1652</v>
      </c>
      <c r="C2" s="171" t="s">
        <v>1</v>
      </c>
      <c r="D2" s="172" t="s">
        <v>2</v>
      </c>
      <c r="E2" s="173" t="s">
        <v>3</v>
      </c>
      <c r="F2" s="174" t="s">
        <v>4</v>
      </c>
      <c r="G2" s="175" t="s">
        <v>5</v>
      </c>
      <c r="H2" s="173" t="s">
        <v>6</v>
      </c>
      <c r="I2" s="176" t="s">
        <v>7</v>
      </c>
      <c r="J2" s="170" t="s">
        <v>1660</v>
      </c>
      <c r="K2" s="171" t="s">
        <v>8</v>
      </c>
      <c r="L2" s="171" t="s">
        <v>9</v>
      </c>
      <c r="M2" s="171" t="s">
        <v>10</v>
      </c>
      <c r="N2" s="171" t="s">
        <v>11</v>
      </c>
      <c r="O2" s="177" t="s">
        <v>12</v>
      </c>
      <c r="P2" s="178" t="s">
        <v>1665</v>
      </c>
      <c r="Q2" s="171" t="s">
        <v>13</v>
      </c>
      <c r="R2" s="175" t="s">
        <v>14</v>
      </c>
      <c r="S2" s="178" t="s">
        <v>15</v>
      </c>
      <c r="T2" s="176" t="s">
        <v>17</v>
      </c>
      <c r="U2" s="175" t="s">
        <v>18</v>
      </c>
      <c r="V2" s="175" t="s">
        <v>1675</v>
      </c>
      <c r="W2" s="175" t="s">
        <v>19</v>
      </c>
      <c r="X2" s="175" t="s">
        <v>20</v>
      </c>
      <c r="Y2" s="171" t="s">
        <v>21</v>
      </c>
      <c r="Z2" s="171" t="s">
        <v>22</v>
      </c>
      <c r="AA2" s="175" t="s">
        <v>23</v>
      </c>
      <c r="AB2" s="175" t="s">
        <v>24</v>
      </c>
      <c r="AC2" s="171" t="s">
        <v>25</v>
      </c>
      <c r="AD2" s="179" t="s">
        <v>26</v>
      </c>
      <c r="AE2" s="170" t="s">
        <v>27</v>
      </c>
      <c r="AF2" s="170" t="s">
        <v>28</v>
      </c>
      <c r="AG2" s="119" t="s">
        <v>29</v>
      </c>
      <c r="AH2" s="170" t="s">
        <v>1661</v>
      </c>
      <c r="AI2" s="119" t="s">
        <v>1653</v>
      </c>
      <c r="AJ2" s="119" t="s">
        <v>1654</v>
      </c>
      <c r="AK2" s="170" t="s">
        <v>1655</v>
      </c>
      <c r="AL2" s="170" t="s">
        <v>1656</v>
      </c>
      <c r="AM2" s="170" t="s">
        <v>1657</v>
      </c>
      <c r="AN2" s="170" t="s">
        <v>1658</v>
      </c>
      <c r="AO2" s="170" t="s">
        <v>1659</v>
      </c>
      <c r="AP2" s="176" t="s">
        <v>16</v>
      </c>
      <c r="AQ2" s="180" t="s">
        <v>30</v>
      </c>
      <c r="AR2" s="180" t="s">
        <v>1666</v>
      </c>
      <c r="AS2" s="180" t="s">
        <v>31</v>
      </c>
      <c r="AT2" s="119" t="s">
        <v>32</v>
      </c>
      <c r="AU2" s="170" t="s">
        <v>1692</v>
      </c>
      <c r="AV2" s="170" t="s">
        <v>1693</v>
      </c>
      <c r="AW2" s="119" t="s">
        <v>1694</v>
      </c>
      <c r="AX2" s="170" t="s">
        <v>1695</v>
      </c>
      <c r="AY2" s="119" t="s">
        <v>1672</v>
      </c>
      <c r="AZ2" s="170" t="s">
        <v>1696</v>
      </c>
      <c r="BA2" s="119" t="s">
        <v>1672</v>
      </c>
      <c r="BB2" s="170" t="s">
        <v>1697</v>
      </c>
      <c r="BC2" s="119" t="s">
        <v>1672</v>
      </c>
      <c r="BD2" s="170" t="s">
        <v>1698</v>
      </c>
      <c r="BE2" s="119" t="s">
        <v>1672</v>
      </c>
      <c r="BF2" s="369">
        <f ca="1">TODAY()</f>
        <v>46230</v>
      </c>
      <c r="BG2" s="170" t="s">
        <v>1817</v>
      </c>
    </row>
    <row r="3" spans="1:59" s="58" customFormat="1" ht="20.100000000000001" customHeight="1" x14ac:dyDescent="0.25">
      <c r="A3" s="181">
        <f>SUBTOTAL(3,$C$3:C3)</f>
        <v>1</v>
      </c>
      <c r="B3" s="198" t="s">
        <v>1703</v>
      </c>
      <c r="C3" s="182" t="s">
        <v>33</v>
      </c>
      <c r="D3" s="182" t="s">
        <v>34</v>
      </c>
      <c r="E3" s="183">
        <v>28140</v>
      </c>
      <c r="F3" s="184">
        <f t="shared" ref="F3:F33" si="44">MONTH(E3)</f>
        <v>1</v>
      </c>
      <c r="G3" s="214" t="s">
        <v>35</v>
      </c>
      <c r="H3" s="185" t="s">
        <v>36</v>
      </c>
      <c r="I3" s="186" t="s">
        <v>37</v>
      </c>
      <c r="J3" s="182" t="s">
        <v>38</v>
      </c>
      <c r="K3" s="182" t="s">
        <v>39</v>
      </c>
      <c r="L3" s="182">
        <v>13</v>
      </c>
      <c r="M3" s="182" t="s">
        <v>40</v>
      </c>
      <c r="N3" s="182" t="s">
        <v>41</v>
      </c>
      <c r="O3" s="187" t="s">
        <v>42</v>
      </c>
      <c r="P3" s="187"/>
      <c r="Q3" s="182"/>
      <c r="R3" s="182"/>
      <c r="S3" s="188"/>
      <c r="T3" s="189"/>
      <c r="U3" s="182" t="s">
        <v>1795</v>
      </c>
      <c r="V3" s="190" t="s">
        <v>1676</v>
      </c>
      <c r="W3" s="182" t="s">
        <v>1795</v>
      </c>
      <c r="X3" s="182"/>
      <c r="Y3" s="182" t="s">
        <v>1775</v>
      </c>
      <c r="Z3" s="182"/>
      <c r="AA3" s="182"/>
      <c r="AB3" s="191">
        <v>40311</v>
      </c>
      <c r="AC3" s="191">
        <v>40360</v>
      </c>
      <c r="AD3" s="192">
        <v>40360</v>
      </c>
      <c r="AE3" s="193">
        <f ca="1">DATEDIF(AC3,$BF$2,"y")</f>
        <v>16</v>
      </c>
      <c r="AF3" s="193" t="str">
        <f>VLOOKUP(C3,'[1]T03.2024'!$B$8:$O$58,14,0)</f>
        <v>T07/2010</v>
      </c>
      <c r="AG3" s="193"/>
      <c r="AH3" s="193" t="s">
        <v>1662</v>
      </c>
      <c r="AI3" s="193"/>
      <c r="AJ3" s="193"/>
      <c r="AK3" s="193"/>
      <c r="AL3" s="193"/>
      <c r="AM3" s="193"/>
      <c r="AN3" s="193"/>
      <c r="AO3" s="193"/>
      <c r="AP3" s="194" t="s">
        <v>43</v>
      </c>
      <c r="AQ3" s="195">
        <v>7100000</v>
      </c>
      <c r="AR3" s="195"/>
      <c r="AS3" s="195"/>
      <c r="AT3" s="196"/>
      <c r="AU3" s="196"/>
      <c r="AV3" s="196"/>
      <c r="AW3" s="196"/>
      <c r="AX3" s="196"/>
      <c r="AY3" s="196"/>
      <c r="AZ3" s="196"/>
      <c r="BA3" s="196"/>
      <c r="BB3" s="196"/>
      <c r="BC3" s="196"/>
      <c r="BD3" s="196"/>
      <c r="BE3" s="362"/>
      <c r="BF3" s="197"/>
      <c r="BG3" s="181"/>
    </row>
    <row r="4" spans="1:59" s="73" customFormat="1" ht="20.100000000000001" customHeight="1" x14ac:dyDescent="0.25">
      <c r="A4" s="181">
        <f>SUBTOTAL(3,$C$3:C4)</f>
        <v>2</v>
      </c>
      <c r="B4" s="198" t="s">
        <v>1704</v>
      </c>
      <c r="C4" s="199" t="s">
        <v>46</v>
      </c>
      <c r="D4" s="199" t="s">
        <v>34</v>
      </c>
      <c r="E4" s="200">
        <v>28990</v>
      </c>
      <c r="F4" s="184">
        <f t="shared" si="44"/>
        <v>5</v>
      </c>
      <c r="G4" s="214" t="s">
        <v>47</v>
      </c>
      <c r="H4" s="185" t="s">
        <v>48</v>
      </c>
      <c r="I4" s="186" t="s">
        <v>37</v>
      </c>
      <c r="J4" s="199" t="s">
        <v>49</v>
      </c>
      <c r="K4" s="199" t="s">
        <v>50</v>
      </c>
      <c r="L4" s="205" t="s">
        <v>51</v>
      </c>
      <c r="M4" s="205" t="s">
        <v>52</v>
      </c>
      <c r="N4" s="199" t="s">
        <v>41</v>
      </c>
      <c r="O4" s="201" t="s">
        <v>53</v>
      </c>
      <c r="P4" s="201"/>
      <c r="Q4" s="202" t="s">
        <v>787</v>
      </c>
      <c r="R4" s="202" t="s">
        <v>71</v>
      </c>
      <c r="S4" s="203" t="s">
        <v>53</v>
      </c>
      <c r="T4" s="204" t="s">
        <v>55</v>
      </c>
      <c r="U4" s="199" t="s">
        <v>44</v>
      </c>
      <c r="V4" s="190" t="s">
        <v>1677</v>
      </c>
      <c r="W4" s="182" t="s">
        <v>45</v>
      </c>
      <c r="X4" s="199" t="s">
        <v>1645</v>
      </c>
      <c r="Y4" s="205" t="s">
        <v>57</v>
      </c>
      <c r="Z4" s="205"/>
      <c r="AA4" s="199" t="s">
        <v>58</v>
      </c>
      <c r="AB4" s="191">
        <v>46113</v>
      </c>
      <c r="AC4" s="191">
        <v>46113</v>
      </c>
      <c r="AD4" s="191">
        <v>46113</v>
      </c>
      <c r="AE4" s="193">
        <f t="shared" ref="AE4:AE33" ca="1" si="45">DATEDIF(AC4,$BF$2,"y")</f>
        <v>0</v>
      </c>
      <c r="AF4" s="193" t="s">
        <v>1819</v>
      </c>
      <c r="AG4" s="193" t="s">
        <v>1818</v>
      </c>
      <c r="AH4" s="193" t="s">
        <v>1662</v>
      </c>
      <c r="AI4" s="193"/>
      <c r="AJ4" s="193"/>
      <c r="AK4" s="193"/>
      <c r="AL4" s="193"/>
      <c r="AM4" s="193"/>
      <c r="AN4" s="193"/>
      <c r="AO4" s="193"/>
      <c r="AP4" s="207" t="s">
        <v>54</v>
      </c>
      <c r="AQ4" s="208">
        <v>5682000</v>
      </c>
      <c r="AR4" s="208"/>
      <c r="AS4" s="208"/>
      <c r="AT4" s="209"/>
      <c r="AU4" s="209"/>
      <c r="AV4" s="209"/>
      <c r="AW4" s="209"/>
      <c r="AX4" s="209"/>
      <c r="AY4" s="209"/>
      <c r="AZ4" s="209"/>
      <c r="BA4" s="209"/>
      <c r="BB4" s="209"/>
      <c r="BC4" s="209"/>
      <c r="BD4" s="209"/>
      <c r="BE4" s="209"/>
      <c r="BF4" s="209"/>
      <c r="BG4" s="181">
        <v>4</v>
      </c>
    </row>
    <row r="5" spans="1:59" s="73" customFormat="1" ht="20.100000000000001" customHeight="1" x14ac:dyDescent="0.25">
      <c r="A5" s="181">
        <f>SUBTOTAL(3,$C$3:C5)</f>
        <v>3</v>
      </c>
      <c r="B5" s="221" t="s">
        <v>1705</v>
      </c>
      <c r="C5" s="199" t="s">
        <v>62</v>
      </c>
      <c r="D5" s="199" t="s">
        <v>34</v>
      </c>
      <c r="E5" s="200">
        <v>26451</v>
      </c>
      <c r="F5" s="184">
        <f t="shared" si="44"/>
        <v>6</v>
      </c>
      <c r="G5" s="214" t="s">
        <v>63</v>
      </c>
      <c r="H5" s="185" t="s">
        <v>64</v>
      </c>
      <c r="I5" s="186" t="s">
        <v>37</v>
      </c>
      <c r="J5" s="199" t="s">
        <v>65</v>
      </c>
      <c r="K5" s="199" t="s">
        <v>66</v>
      </c>
      <c r="L5" s="205" t="s">
        <v>67</v>
      </c>
      <c r="M5" s="205" t="s">
        <v>68</v>
      </c>
      <c r="N5" s="199" t="s">
        <v>41</v>
      </c>
      <c r="O5" s="201" t="s">
        <v>69</v>
      </c>
      <c r="P5" s="201"/>
      <c r="Q5" s="202" t="s">
        <v>70</v>
      </c>
      <c r="R5" s="202" t="s">
        <v>71</v>
      </c>
      <c r="S5" s="211" t="s">
        <v>72</v>
      </c>
      <c r="T5" s="204" t="s">
        <v>74</v>
      </c>
      <c r="U5" s="199" t="s">
        <v>56</v>
      </c>
      <c r="V5" s="190" t="s">
        <v>1677</v>
      </c>
      <c r="W5" s="182" t="s">
        <v>45</v>
      </c>
      <c r="X5" s="199" t="s">
        <v>46</v>
      </c>
      <c r="Y5" s="205" t="s">
        <v>74</v>
      </c>
      <c r="Z5" s="205"/>
      <c r="AA5" s="199" t="s">
        <v>75</v>
      </c>
      <c r="AB5" s="191">
        <v>43330</v>
      </c>
      <c r="AC5" s="206">
        <v>43330</v>
      </c>
      <c r="AD5" s="192">
        <v>43330</v>
      </c>
      <c r="AE5" s="193">
        <f t="shared" ca="1" si="45"/>
        <v>7</v>
      </c>
      <c r="AF5" s="193" t="str">
        <f>VLOOKUP(C5,'[1]T03.2024'!$B$8:$O$58,14,0)</f>
        <v>T09/2018</v>
      </c>
      <c r="AG5" s="193" t="s">
        <v>76</v>
      </c>
      <c r="AH5" s="193" t="s">
        <v>1662</v>
      </c>
      <c r="AI5" s="193"/>
      <c r="AJ5" s="193"/>
      <c r="AK5" s="193"/>
      <c r="AL5" s="193"/>
      <c r="AM5" s="193"/>
      <c r="AN5" s="193"/>
      <c r="AO5" s="193"/>
      <c r="AP5" s="207" t="s">
        <v>73</v>
      </c>
      <c r="AQ5" s="208">
        <v>5682000</v>
      </c>
      <c r="AR5" s="208"/>
      <c r="AS5" s="208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181">
        <v>5</v>
      </c>
    </row>
    <row r="6" spans="1:59" ht="20.100000000000001" customHeight="1" x14ac:dyDescent="0.25">
      <c r="A6" s="181">
        <f>SUBTOTAL(3,$C$3:C6)</f>
        <v>4</v>
      </c>
      <c r="B6" s="198" t="s">
        <v>1706</v>
      </c>
      <c r="C6" s="199" t="s">
        <v>77</v>
      </c>
      <c r="D6" s="199" t="s">
        <v>78</v>
      </c>
      <c r="E6" s="200">
        <v>34539</v>
      </c>
      <c r="F6" s="184">
        <f t="shared" si="44"/>
        <v>7</v>
      </c>
      <c r="G6" s="214" t="s">
        <v>79</v>
      </c>
      <c r="H6" s="185" t="s">
        <v>80</v>
      </c>
      <c r="I6" s="186" t="s">
        <v>37</v>
      </c>
      <c r="J6" s="199" t="s">
        <v>81</v>
      </c>
      <c r="K6" s="199" t="s">
        <v>82</v>
      </c>
      <c r="L6" s="205" t="s">
        <v>51</v>
      </c>
      <c r="M6" s="205" t="s">
        <v>83</v>
      </c>
      <c r="N6" s="199" t="s">
        <v>83</v>
      </c>
      <c r="O6" s="201" t="s">
        <v>84</v>
      </c>
      <c r="P6" s="201"/>
      <c r="Q6" s="202" t="s">
        <v>85</v>
      </c>
      <c r="R6" s="202" t="s">
        <v>86</v>
      </c>
      <c r="S6" s="211" t="s">
        <v>87</v>
      </c>
      <c r="T6" s="222" t="s">
        <v>89</v>
      </c>
      <c r="U6" s="199" t="s">
        <v>90</v>
      </c>
      <c r="V6" s="199" t="s">
        <v>1152</v>
      </c>
      <c r="W6" s="205" t="s">
        <v>89</v>
      </c>
      <c r="X6" s="199" t="s">
        <v>1645</v>
      </c>
      <c r="Y6" s="205" t="s">
        <v>92</v>
      </c>
      <c r="Z6" s="205"/>
      <c r="AA6" s="223" t="s">
        <v>93</v>
      </c>
      <c r="AB6" s="206">
        <v>44341</v>
      </c>
      <c r="AC6" s="206">
        <v>44504</v>
      </c>
      <c r="AD6" s="192">
        <v>44504</v>
      </c>
      <c r="AE6" s="193">
        <f t="shared" ca="1" si="45"/>
        <v>4</v>
      </c>
      <c r="AF6" s="193" t="str">
        <f>VLOOKUP(C6,'[1]T03.2024'!$B$8:$O$58,14,0)</f>
        <v>T11/2021</v>
      </c>
      <c r="AG6" s="193" t="s">
        <v>94</v>
      </c>
      <c r="AH6" s="193" t="s">
        <v>1662</v>
      </c>
      <c r="AI6" s="193"/>
      <c r="AJ6" s="193"/>
      <c r="AK6" s="193"/>
      <c r="AL6" s="193"/>
      <c r="AM6" s="193"/>
      <c r="AN6" s="193"/>
      <c r="AO6" s="193"/>
      <c r="AP6" s="211" t="s">
        <v>88</v>
      </c>
      <c r="AQ6" s="208">
        <v>5682000</v>
      </c>
      <c r="AR6" s="208"/>
      <c r="AS6" s="208"/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307"/>
      <c r="BF6" s="210"/>
      <c r="BG6" s="181">
        <v>6</v>
      </c>
    </row>
    <row r="7" spans="1:59" ht="20.100000000000001" customHeight="1" x14ac:dyDescent="0.25">
      <c r="A7" s="181">
        <f>SUBTOTAL(3,$C$3:C7)</f>
        <v>5</v>
      </c>
      <c r="B7" s="221" t="s">
        <v>1708</v>
      </c>
      <c r="C7" s="199" t="s">
        <v>95</v>
      </c>
      <c r="D7" s="199" t="s">
        <v>34</v>
      </c>
      <c r="E7" s="200">
        <v>29754</v>
      </c>
      <c r="F7" s="184">
        <f t="shared" si="44"/>
        <v>6</v>
      </c>
      <c r="G7" s="214" t="s">
        <v>96</v>
      </c>
      <c r="H7" s="185" t="s">
        <v>97</v>
      </c>
      <c r="I7" s="186" t="s">
        <v>37</v>
      </c>
      <c r="J7" s="199" t="s">
        <v>98</v>
      </c>
      <c r="K7" s="199" t="s">
        <v>99</v>
      </c>
      <c r="L7" s="205">
        <v>16</v>
      </c>
      <c r="M7" s="205" t="s">
        <v>68</v>
      </c>
      <c r="N7" s="199" t="s">
        <v>41</v>
      </c>
      <c r="O7" s="201" t="s">
        <v>100</v>
      </c>
      <c r="P7" s="201"/>
      <c r="Q7" s="202" t="s">
        <v>101</v>
      </c>
      <c r="R7" s="202" t="s">
        <v>71</v>
      </c>
      <c r="S7" s="211" t="s">
        <v>102</v>
      </c>
      <c r="T7" s="222" t="s">
        <v>103</v>
      </c>
      <c r="U7" s="199" t="s">
        <v>104</v>
      </c>
      <c r="V7" s="199" t="s">
        <v>1152</v>
      </c>
      <c r="W7" s="205" t="s">
        <v>89</v>
      </c>
      <c r="X7" s="199" t="s">
        <v>1645</v>
      </c>
      <c r="Y7" s="224" t="s">
        <v>105</v>
      </c>
      <c r="Z7" s="224"/>
      <c r="AA7" s="199" t="s">
        <v>106</v>
      </c>
      <c r="AB7" s="206">
        <v>41192</v>
      </c>
      <c r="AC7" s="206">
        <v>41192</v>
      </c>
      <c r="AD7" s="192">
        <v>41365</v>
      </c>
      <c r="AE7" s="193">
        <f t="shared" ca="1" si="45"/>
        <v>13</v>
      </c>
      <c r="AF7" s="193" t="str">
        <f>VLOOKUP(C7,'[1]T03.2024'!$B$8:$O$58,14,0)</f>
        <v>T04/2013</v>
      </c>
      <c r="AG7" s="193" t="s">
        <v>107</v>
      </c>
      <c r="AH7" s="193" t="s">
        <v>1662</v>
      </c>
      <c r="AI7" s="193"/>
      <c r="AJ7" s="193"/>
      <c r="AK7" s="193"/>
      <c r="AL7" s="193"/>
      <c r="AM7" s="193"/>
      <c r="AN7" s="193"/>
      <c r="AO7" s="193"/>
      <c r="AP7" s="211">
        <v>7913037584</v>
      </c>
      <c r="AQ7" s="208">
        <v>5682000</v>
      </c>
      <c r="AR7" s="208"/>
      <c r="AS7" s="208"/>
      <c r="AT7" s="209"/>
      <c r="AU7" s="209"/>
      <c r="AV7" s="209"/>
      <c r="AW7" s="209"/>
      <c r="AX7" s="209"/>
      <c r="AY7" s="209"/>
      <c r="AZ7" s="209"/>
      <c r="BA7" s="209"/>
      <c r="BB7" s="209"/>
      <c r="BC7" s="209"/>
      <c r="BD7" s="209"/>
      <c r="BE7" s="209"/>
      <c r="BF7" s="209"/>
      <c r="BG7" s="181">
        <v>7</v>
      </c>
    </row>
    <row r="8" spans="1:59" ht="20.100000000000001" customHeight="1" x14ac:dyDescent="0.25">
      <c r="A8" s="181">
        <f>SUBTOTAL(3,$C$3:C8)</f>
        <v>6</v>
      </c>
      <c r="B8" s="198" t="s">
        <v>1709</v>
      </c>
      <c r="C8" s="199" t="s">
        <v>108</v>
      </c>
      <c r="D8" s="199" t="s">
        <v>34</v>
      </c>
      <c r="E8" s="200">
        <v>27030</v>
      </c>
      <c r="F8" s="184">
        <f t="shared" si="44"/>
        <v>1</v>
      </c>
      <c r="G8" s="214" t="s">
        <v>109</v>
      </c>
      <c r="H8" s="185" t="s">
        <v>97</v>
      </c>
      <c r="I8" s="186" t="s">
        <v>37</v>
      </c>
      <c r="J8" s="199" t="s">
        <v>110</v>
      </c>
      <c r="K8" s="199" t="s">
        <v>111</v>
      </c>
      <c r="L8" s="205" t="s">
        <v>112</v>
      </c>
      <c r="M8" s="205" t="s">
        <v>52</v>
      </c>
      <c r="N8" s="199" t="s">
        <v>41</v>
      </c>
      <c r="O8" s="201" t="s">
        <v>113</v>
      </c>
      <c r="P8" s="201"/>
      <c r="Q8" s="202" t="s">
        <v>114</v>
      </c>
      <c r="R8" s="202" t="s">
        <v>71</v>
      </c>
      <c r="S8" s="211" t="s">
        <v>115</v>
      </c>
      <c r="T8" s="222" t="s">
        <v>103</v>
      </c>
      <c r="U8" s="199" t="s">
        <v>104</v>
      </c>
      <c r="V8" s="199" t="s">
        <v>1152</v>
      </c>
      <c r="W8" s="205" t="s">
        <v>89</v>
      </c>
      <c r="X8" s="199" t="s">
        <v>1645</v>
      </c>
      <c r="Y8" s="224" t="s">
        <v>117</v>
      </c>
      <c r="Z8" s="224"/>
      <c r="AA8" s="223" t="s">
        <v>118</v>
      </c>
      <c r="AB8" s="206">
        <v>43739</v>
      </c>
      <c r="AC8" s="206">
        <v>43739</v>
      </c>
      <c r="AD8" s="192">
        <v>43770</v>
      </c>
      <c r="AE8" s="193">
        <f t="shared" ca="1" si="45"/>
        <v>6</v>
      </c>
      <c r="AF8" s="193" t="str">
        <f>VLOOKUP(C8,'[1]T03.2024'!$B$8:$O$58,14,0)</f>
        <v>T11/2019</v>
      </c>
      <c r="AG8" s="193" t="s">
        <v>119</v>
      </c>
      <c r="AH8" s="193" t="s">
        <v>1662</v>
      </c>
      <c r="AI8" s="193"/>
      <c r="AJ8" s="193"/>
      <c r="AK8" s="193"/>
      <c r="AL8" s="193"/>
      <c r="AM8" s="193"/>
      <c r="AN8" s="193"/>
      <c r="AO8" s="193"/>
      <c r="AP8" s="211" t="s">
        <v>116</v>
      </c>
      <c r="AQ8" s="208">
        <v>5682000</v>
      </c>
      <c r="AR8" s="208"/>
      <c r="AS8" s="208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307"/>
      <c r="BF8" s="210"/>
      <c r="BG8" s="181">
        <v>8</v>
      </c>
    </row>
    <row r="9" spans="1:59" ht="20.100000000000001" customHeight="1" x14ac:dyDescent="0.25">
      <c r="A9" s="181">
        <f>SUBTOTAL(3,$C$3:C9)</f>
        <v>7</v>
      </c>
      <c r="B9" s="198" t="s">
        <v>1711</v>
      </c>
      <c r="C9" s="199" t="s">
        <v>120</v>
      </c>
      <c r="D9" s="199" t="s">
        <v>34</v>
      </c>
      <c r="E9" s="200">
        <v>30944</v>
      </c>
      <c r="F9" s="184">
        <f t="shared" si="44"/>
        <v>9</v>
      </c>
      <c r="G9" s="213" t="s">
        <v>121</v>
      </c>
      <c r="H9" s="185">
        <v>44845</v>
      </c>
      <c r="I9" s="186" t="s">
        <v>37</v>
      </c>
      <c r="J9" s="199" t="s">
        <v>122</v>
      </c>
      <c r="K9" s="199" t="s">
        <v>39</v>
      </c>
      <c r="L9" s="205">
        <v>13</v>
      </c>
      <c r="M9" s="205" t="s">
        <v>40</v>
      </c>
      <c r="N9" s="199" t="s">
        <v>41</v>
      </c>
      <c r="O9" s="201" t="s">
        <v>123</v>
      </c>
      <c r="P9" s="201"/>
      <c r="Q9" s="202" t="s">
        <v>124</v>
      </c>
      <c r="R9" s="202" t="s">
        <v>71</v>
      </c>
      <c r="S9" s="211" t="s">
        <v>125</v>
      </c>
      <c r="T9" s="222" t="s">
        <v>127</v>
      </c>
      <c r="U9" s="199" t="s">
        <v>127</v>
      </c>
      <c r="V9" s="199" t="s">
        <v>1152</v>
      </c>
      <c r="W9" s="205" t="s">
        <v>89</v>
      </c>
      <c r="X9" s="199" t="s">
        <v>1645</v>
      </c>
      <c r="Y9" s="224" t="s">
        <v>128</v>
      </c>
      <c r="Z9" s="224"/>
      <c r="AA9" s="209"/>
      <c r="AB9" s="191">
        <v>43899</v>
      </c>
      <c r="AC9" s="191">
        <v>43960</v>
      </c>
      <c r="AD9" s="192">
        <v>44564</v>
      </c>
      <c r="AE9" s="193">
        <f t="shared" ca="1" si="45"/>
        <v>6</v>
      </c>
      <c r="AF9" s="193" t="str">
        <f>VLOOKUP(C9,'[1]T03.2024'!$B$8:$O$58,14,0)</f>
        <v>T01/2022</v>
      </c>
      <c r="AG9" s="193" t="s">
        <v>129</v>
      </c>
      <c r="AH9" s="193" t="s">
        <v>1662</v>
      </c>
      <c r="AI9" s="193"/>
      <c r="AJ9" s="193"/>
      <c r="AK9" s="193"/>
      <c r="AL9" s="193"/>
      <c r="AM9" s="193"/>
      <c r="AN9" s="193"/>
      <c r="AO9" s="193"/>
      <c r="AP9" s="211" t="s">
        <v>126</v>
      </c>
      <c r="AQ9" s="208">
        <v>5682000</v>
      </c>
      <c r="AR9" s="208"/>
      <c r="AS9" s="208"/>
      <c r="AT9" s="209"/>
      <c r="AU9" s="209"/>
      <c r="AV9" s="209"/>
      <c r="AW9" s="209"/>
      <c r="AX9" s="209"/>
      <c r="AY9" s="209"/>
      <c r="AZ9" s="209"/>
      <c r="BA9" s="209"/>
      <c r="BB9" s="209"/>
      <c r="BC9" s="209"/>
      <c r="BD9" s="209"/>
      <c r="BE9" s="209"/>
      <c r="BF9" s="210"/>
      <c r="BG9" s="181">
        <v>9</v>
      </c>
    </row>
    <row r="10" spans="1:59" ht="20.100000000000001" customHeight="1" x14ac:dyDescent="0.25">
      <c r="A10" s="181">
        <f>SUBTOTAL(3,$C$3:C10)</f>
        <v>8</v>
      </c>
      <c r="B10" s="198" t="s">
        <v>1712</v>
      </c>
      <c r="C10" s="199" t="s">
        <v>130</v>
      </c>
      <c r="D10" s="199" t="s">
        <v>78</v>
      </c>
      <c r="E10" s="200">
        <v>28756</v>
      </c>
      <c r="F10" s="184">
        <f t="shared" si="44"/>
        <v>9</v>
      </c>
      <c r="G10" s="214" t="s">
        <v>131</v>
      </c>
      <c r="H10" s="185" t="s">
        <v>132</v>
      </c>
      <c r="I10" s="186" t="s">
        <v>37</v>
      </c>
      <c r="J10" s="199" t="s">
        <v>133</v>
      </c>
      <c r="K10" s="199" t="s">
        <v>39</v>
      </c>
      <c r="L10" s="205">
        <v>13</v>
      </c>
      <c r="M10" s="205" t="s">
        <v>40</v>
      </c>
      <c r="N10" s="199" t="s">
        <v>41</v>
      </c>
      <c r="O10" s="201" t="s">
        <v>134</v>
      </c>
      <c r="P10" s="201"/>
      <c r="Q10" s="202"/>
      <c r="R10" s="202"/>
      <c r="S10" s="207"/>
      <c r="T10" s="222" t="s">
        <v>136</v>
      </c>
      <c r="U10" s="199" t="s">
        <v>1797</v>
      </c>
      <c r="V10" s="199" t="s">
        <v>1152</v>
      </c>
      <c r="W10" s="199" t="s">
        <v>1786</v>
      </c>
      <c r="X10" s="199" t="s">
        <v>46</v>
      </c>
      <c r="Y10" s="205" t="s">
        <v>140</v>
      </c>
      <c r="Z10" s="205"/>
      <c r="AA10" s="199"/>
      <c r="AB10" s="192">
        <v>40422</v>
      </c>
      <c r="AC10" s="192">
        <v>40422</v>
      </c>
      <c r="AD10" s="192">
        <v>40422</v>
      </c>
      <c r="AE10" s="193">
        <f t="shared" ca="1" si="45"/>
        <v>15</v>
      </c>
      <c r="AF10" s="193" t="str">
        <f>VLOOKUP(C10,'[1]T03.2024'!$B$8:$O$58,14,0)</f>
        <v>T09/2010</v>
      </c>
      <c r="AG10" s="193" t="s">
        <v>141</v>
      </c>
      <c r="AH10" s="193" t="s">
        <v>1662</v>
      </c>
      <c r="AI10" s="193"/>
      <c r="AJ10" s="193"/>
      <c r="AK10" s="193"/>
      <c r="AL10" s="193"/>
      <c r="AM10" s="193"/>
      <c r="AN10" s="193"/>
      <c r="AO10" s="193"/>
      <c r="AP10" s="211" t="s">
        <v>135</v>
      </c>
      <c r="AQ10" s="208">
        <v>5682000</v>
      </c>
      <c r="AR10" s="208"/>
      <c r="AS10" s="208"/>
      <c r="AT10" s="209"/>
      <c r="AU10" s="209"/>
      <c r="AV10" s="209"/>
      <c r="AW10" s="209"/>
      <c r="AX10" s="209"/>
      <c r="AY10" s="209"/>
      <c r="AZ10" s="209"/>
      <c r="BA10" s="209"/>
      <c r="BB10" s="209"/>
      <c r="BC10" s="209"/>
      <c r="BD10" s="209"/>
      <c r="BE10" s="209"/>
      <c r="BF10" s="210"/>
      <c r="BG10" s="181">
        <v>10</v>
      </c>
    </row>
    <row r="11" spans="1:59" ht="20.100000000000001" customHeight="1" x14ac:dyDescent="0.25">
      <c r="A11" s="181">
        <f>SUBTOTAL(3,$C$3:C11)</f>
        <v>9</v>
      </c>
      <c r="B11" s="198" t="s">
        <v>1713</v>
      </c>
      <c r="C11" s="199" t="s">
        <v>142</v>
      </c>
      <c r="D11" s="199" t="s">
        <v>78</v>
      </c>
      <c r="E11" s="200">
        <v>31273</v>
      </c>
      <c r="F11" s="184">
        <f t="shared" si="44"/>
        <v>8</v>
      </c>
      <c r="G11" s="214" t="s">
        <v>143</v>
      </c>
      <c r="H11" s="185" t="s">
        <v>144</v>
      </c>
      <c r="I11" s="186" t="s">
        <v>37</v>
      </c>
      <c r="J11" s="199" t="s">
        <v>145</v>
      </c>
      <c r="K11" s="199" t="s">
        <v>146</v>
      </c>
      <c r="L11" s="205" t="s">
        <v>147</v>
      </c>
      <c r="M11" s="205">
        <v>9</v>
      </c>
      <c r="N11" s="199" t="s">
        <v>41</v>
      </c>
      <c r="O11" s="201" t="s">
        <v>148</v>
      </c>
      <c r="P11" s="201"/>
      <c r="Q11" s="202" t="s">
        <v>149</v>
      </c>
      <c r="R11" s="202" t="s">
        <v>86</v>
      </c>
      <c r="S11" s="211" t="s">
        <v>150</v>
      </c>
      <c r="T11" s="222" t="s">
        <v>136</v>
      </c>
      <c r="U11" s="199" t="s">
        <v>137</v>
      </c>
      <c r="V11" s="199" t="s">
        <v>1152</v>
      </c>
      <c r="W11" s="199" t="s">
        <v>1786</v>
      </c>
      <c r="X11" s="199" t="s">
        <v>731</v>
      </c>
      <c r="Y11" s="205" t="s">
        <v>152</v>
      </c>
      <c r="Z11" s="205"/>
      <c r="AA11" s="199" t="s">
        <v>153</v>
      </c>
      <c r="AB11" s="191">
        <v>42079</v>
      </c>
      <c r="AC11" s="206">
        <v>42079</v>
      </c>
      <c r="AD11" s="192">
        <v>42461</v>
      </c>
      <c r="AE11" s="193">
        <f t="shared" ca="1" si="45"/>
        <v>11</v>
      </c>
      <c r="AF11" s="193" t="str">
        <f>VLOOKUP(C11,'[1]T03.2024'!$B$8:$O$58,14,0)</f>
        <v>T04/2016</v>
      </c>
      <c r="AG11" s="193" t="s">
        <v>154</v>
      </c>
      <c r="AH11" s="193" t="s">
        <v>1662</v>
      </c>
      <c r="AI11" s="193"/>
      <c r="AJ11" s="193"/>
      <c r="AK11" s="193"/>
      <c r="AL11" s="193"/>
      <c r="AM11" s="193"/>
      <c r="AN11" s="193"/>
      <c r="AO11" s="193"/>
      <c r="AP11" s="211" t="s">
        <v>151</v>
      </c>
      <c r="AQ11" s="208">
        <v>5682000</v>
      </c>
      <c r="AR11" s="208"/>
      <c r="AS11" s="208"/>
      <c r="AT11" s="209"/>
      <c r="AU11" s="209"/>
      <c r="AV11" s="209"/>
      <c r="AW11" s="209"/>
      <c r="AX11" s="209"/>
      <c r="AY11" s="209"/>
      <c r="AZ11" s="209"/>
      <c r="BA11" s="209"/>
      <c r="BB11" s="209"/>
      <c r="BC11" s="209"/>
      <c r="BD11" s="209"/>
      <c r="BE11" s="209"/>
      <c r="BF11" s="210"/>
      <c r="BG11" s="181">
        <v>11</v>
      </c>
    </row>
    <row r="12" spans="1:59" ht="20.100000000000001" customHeight="1" x14ac:dyDescent="0.25">
      <c r="A12" s="181">
        <f>SUBTOTAL(3,$C$3:C12)</f>
        <v>10</v>
      </c>
      <c r="B12" s="225" t="s">
        <v>1715</v>
      </c>
      <c r="C12" s="199" t="s">
        <v>155</v>
      </c>
      <c r="D12" s="199" t="s">
        <v>78</v>
      </c>
      <c r="E12" s="200">
        <v>30399</v>
      </c>
      <c r="F12" s="184">
        <f t="shared" si="44"/>
        <v>3</v>
      </c>
      <c r="G12" s="214" t="s">
        <v>156</v>
      </c>
      <c r="H12" s="185" t="s">
        <v>48</v>
      </c>
      <c r="I12" s="186" t="s">
        <v>37</v>
      </c>
      <c r="J12" s="199" t="s">
        <v>157</v>
      </c>
      <c r="K12" s="199" t="s">
        <v>158</v>
      </c>
      <c r="L12" s="205" t="s">
        <v>159</v>
      </c>
      <c r="M12" s="205" t="s">
        <v>52</v>
      </c>
      <c r="N12" s="199" t="s">
        <v>41</v>
      </c>
      <c r="O12" s="201" t="s">
        <v>160</v>
      </c>
      <c r="P12" s="201"/>
      <c r="Q12" s="202" t="s">
        <v>161</v>
      </c>
      <c r="R12" s="202" t="s">
        <v>162</v>
      </c>
      <c r="S12" s="211" t="s">
        <v>163</v>
      </c>
      <c r="T12" s="222" t="s">
        <v>136</v>
      </c>
      <c r="U12" s="199" t="s">
        <v>137</v>
      </c>
      <c r="V12" s="199" t="s">
        <v>1152</v>
      </c>
      <c r="W12" s="199" t="s">
        <v>1786</v>
      </c>
      <c r="X12" s="199" t="s">
        <v>731</v>
      </c>
      <c r="Y12" s="205" t="s">
        <v>165</v>
      </c>
      <c r="Z12" s="205"/>
      <c r="AA12" s="199" t="s">
        <v>166</v>
      </c>
      <c r="AB12" s="206">
        <v>43314</v>
      </c>
      <c r="AC12" s="206">
        <v>43374</v>
      </c>
      <c r="AD12" s="192">
        <v>44743</v>
      </c>
      <c r="AE12" s="193">
        <f t="shared" ca="1" si="45"/>
        <v>7</v>
      </c>
      <c r="AF12" s="193" t="s">
        <v>59</v>
      </c>
      <c r="AG12" s="193" t="s">
        <v>167</v>
      </c>
      <c r="AH12" s="193" t="s">
        <v>1662</v>
      </c>
      <c r="AI12" s="193"/>
      <c r="AJ12" s="193"/>
      <c r="AK12" s="193"/>
      <c r="AL12" s="193"/>
      <c r="AM12" s="193"/>
      <c r="AN12" s="193"/>
      <c r="AO12" s="193"/>
      <c r="AP12" s="211" t="s">
        <v>164</v>
      </c>
      <c r="AQ12" s="208">
        <v>5682000</v>
      </c>
      <c r="AR12" s="208"/>
      <c r="AS12" s="208"/>
      <c r="AT12" s="209" t="s">
        <v>61</v>
      </c>
      <c r="AU12" s="209"/>
      <c r="AV12" s="209"/>
      <c r="AW12" s="209"/>
      <c r="AX12" s="209"/>
      <c r="AY12" s="209"/>
      <c r="AZ12" s="209"/>
      <c r="BA12" s="209"/>
      <c r="BB12" s="209"/>
      <c r="BC12" s="209"/>
      <c r="BD12" s="209"/>
      <c r="BE12" s="209"/>
      <c r="BF12" s="210"/>
      <c r="BG12" s="181">
        <v>12</v>
      </c>
    </row>
    <row r="13" spans="1:59" ht="20.100000000000001" customHeight="1" x14ac:dyDescent="0.25">
      <c r="A13" s="181">
        <f>SUBTOTAL(3,$C$3:C13)</f>
        <v>11</v>
      </c>
      <c r="B13" s="198" t="s">
        <v>1721</v>
      </c>
      <c r="C13" s="199" t="s">
        <v>168</v>
      </c>
      <c r="D13" s="199" t="s">
        <v>34</v>
      </c>
      <c r="E13" s="200">
        <v>30376</v>
      </c>
      <c r="F13" s="184">
        <f t="shared" si="44"/>
        <v>3</v>
      </c>
      <c r="G13" s="214" t="s">
        <v>169</v>
      </c>
      <c r="H13" s="185" t="s">
        <v>64</v>
      </c>
      <c r="I13" s="186" t="s">
        <v>37</v>
      </c>
      <c r="J13" s="199" t="s">
        <v>170</v>
      </c>
      <c r="K13" s="199" t="s">
        <v>171</v>
      </c>
      <c r="L13" s="205" t="s">
        <v>172</v>
      </c>
      <c r="M13" s="205" t="s">
        <v>52</v>
      </c>
      <c r="N13" s="199" t="s">
        <v>41</v>
      </c>
      <c r="O13" s="201" t="s">
        <v>173</v>
      </c>
      <c r="P13" s="201"/>
      <c r="Q13" s="202" t="s">
        <v>174</v>
      </c>
      <c r="R13" s="202" t="s">
        <v>71</v>
      </c>
      <c r="S13" s="211" t="s">
        <v>175</v>
      </c>
      <c r="T13" s="222" t="s">
        <v>177</v>
      </c>
      <c r="U13" s="209" t="s">
        <v>1796</v>
      </c>
      <c r="V13" s="209" t="s">
        <v>1678</v>
      </c>
      <c r="W13" s="199" t="s">
        <v>179</v>
      </c>
      <c r="X13" s="199" t="s">
        <v>33</v>
      </c>
      <c r="Y13" s="205" t="s">
        <v>180</v>
      </c>
      <c r="Z13" s="205"/>
      <c r="AA13" s="199" t="s">
        <v>181</v>
      </c>
      <c r="AB13" s="191">
        <v>43678</v>
      </c>
      <c r="AC13" s="206">
        <v>43709</v>
      </c>
      <c r="AD13" s="192">
        <v>43739</v>
      </c>
      <c r="AE13" s="193">
        <f t="shared" ca="1" si="45"/>
        <v>6</v>
      </c>
      <c r="AF13" s="193" t="str">
        <f>VLOOKUP(C13,'[1]T03.2024'!$B$8:$O$58,14,0)</f>
        <v>T10/2019</v>
      </c>
      <c r="AG13" s="193" t="s">
        <v>182</v>
      </c>
      <c r="AH13" s="193" t="s">
        <v>1662</v>
      </c>
      <c r="AI13" s="193"/>
      <c r="AJ13" s="193"/>
      <c r="AK13" s="193"/>
      <c r="AL13" s="193"/>
      <c r="AM13" s="193"/>
      <c r="AN13" s="193"/>
      <c r="AO13" s="193"/>
      <c r="AP13" s="211" t="s">
        <v>176</v>
      </c>
      <c r="AQ13" s="208">
        <v>5682000</v>
      </c>
      <c r="AR13" s="208"/>
      <c r="AS13" s="208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10"/>
      <c r="BG13" s="181">
        <v>13</v>
      </c>
    </row>
    <row r="14" spans="1:59" ht="20.100000000000001" customHeight="1" x14ac:dyDescent="0.25">
      <c r="A14" s="181">
        <f>SUBTOTAL(3,$C$3:C14)</f>
        <v>12</v>
      </c>
      <c r="B14" s="198" t="s">
        <v>1722</v>
      </c>
      <c r="C14" s="199" t="s">
        <v>183</v>
      </c>
      <c r="D14" s="199" t="s">
        <v>34</v>
      </c>
      <c r="E14" s="200">
        <v>33626</v>
      </c>
      <c r="F14" s="184">
        <f t="shared" si="44"/>
        <v>1</v>
      </c>
      <c r="G14" s="214" t="s">
        <v>184</v>
      </c>
      <c r="H14" s="185" t="s">
        <v>185</v>
      </c>
      <c r="I14" s="186" t="s">
        <v>37</v>
      </c>
      <c r="J14" s="199" t="s">
        <v>186</v>
      </c>
      <c r="K14" s="199" t="s">
        <v>187</v>
      </c>
      <c r="L14" s="205" t="s">
        <v>188</v>
      </c>
      <c r="M14" s="205" t="s">
        <v>68</v>
      </c>
      <c r="N14" s="199" t="s">
        <v>41</v>
      </c>
      <c r="O14" s="201" t="s">
        <v>189</v>
      </c>
      <c r="P14" s="201"/>
      <c r="Q14" s="202" t="s">
        <v>190</v>
      </c>
      <c r="R14" s="202" t="s">
        <v>191</v>
      </c>
      <c r="S14" s="211" t="s">
        <v>192</v>
      </c>
      <c r="T14" s="205" t="s">
        <v>74</v>
      </c>
      <c r="U14" s="199" t="s">
        <v>194</v>
      </c>
      <c r="V14" s="199" t="s">
        <v>1679</v>
      </c>
      <c r="W14" s="199" t="s">
        <v>179</v>
      </c>
      <c r="X14" s="199" t="s">
        <v>62</v>
      </c>
      <c r="Y14" s="205" t="s">
        <v>74</v>
      </c>
      <c r="Z14" s="205"/>
      <c r="AA14" s="199" t="s">
        <v>195</v>
      </c>
      <c r="AB14" s="191">
        <v>42081</v>
      </c>
      <c r="AC14" s="191">
        <v>42081</v>
      </c>
      <c r="AD14" s="192">
        <v>42461</v>
      </c>
      <c r="AE14" s="193">
        <f t="shared" ca="1" si="45"/>
        <v>11</v>
      </c>
      <c r="AF14" s="193" t="str">
        <f>VLOOKUP(C14,'[1]T03.2024'!$B$8:$O$58,14,0)</f>
        <v>T04/2016</v>
      </c>
      <c r="AG14" s="193" t="s">
        <v>196</v>
      </c>
      <c r="AH14" s="193" t="s">
        <v>1662</v>
      </c>
      <c r="AI14" s="193"/>
      <c r="AJ14" s="193"/>
      <c r="AK14" s="193"/>
      <c r="AL14" s="193"/>
      <c r="AM14" s="193"/>
      <c r="AN14" s="193"/>
      <c r="AO14" s="193"/>
      <c r="AP14" s="211" t="s">
        <v>193</v>
      </c>
      <c r="AQ14" s="208">
        <v>5682000</v>
      </c>
      <c r="AR14" s="208"/>
      <c r="AS14" s="208"/>
      <c r="AT14" s="209"/>
      <c r="AU14" s="209"/>
      <c r="AV14" s="209"/>
      <c r="AW14" s="209"/>
      <c r="AX14" s="209"/>
      <c r="AY14" s="209"/>
      <c r="AZ14" s="209"/>
      <c r="BA14" s="209"/>
      <c r="BB14" s="209"/>
      <c r="BC14" s="209"/>
      <c r="BD14" s="209"/>
      <c r="BE14" s="209"/>
      <c r="BF14" s="210"/>
      <c r="BG14" s="181">
        <v>14</v>
      </c>
    </row>
    <row r="15" spans="1:59" ht="20.100000000000001" customHeight="1" x14ac:dyDescent="0.25">
      <c r="A15" s="181">
        <f>SUBTOTAL(3,$C$3:C15)</f>
        <v>13</v>
      </c>
      <c r="B15" s="221" t="s">
        <v>1723</v>
      </c>
      <c r="C15" s="199" t="s">
        <v>197</v>
      </c>
      <c r="D15" s="199" t="s">
        <v>34</v>
      </c>
      <c r="E15" s="200">
        <v>32150</v>
      </c>
      <c r="F15" s="184">
        <f t="shared" si="44"/>
        <v>1</v>
      </c>
      <c r="G15" s="214" t="s">
        <v>198</v>
      </c>
      <c r="H15" s="185">
        <v>44711</v>
      </c>
      <c r="I15" s="186" t="s">
        <v>37</v>
      </c>
      <c r="J15" s="199" t="s">
        <v>199</v>
      </c>
      <c r="K15" s="199" t="s">
        <v>200</v>
      </c>
      <c r="L15" s="205" t="s">
        <v>201</v>
      </c>
      <c r="M15" s="205" t="s">
        <v>40</v>
      </c>
      <c r="N15" s="199" t="s">
        <v>41</v>
      </c>
      <c r="O15" s="201" t="s">
        <v>202</v>
      </c>
      <c r="P15" s="201"/>
      <c r="Q15" s="202" t="s">
        <v>203</v>
      </c>
      <c r="R15" s="202" t="s">
        <v>204</v>
      </c>
      <c r="S15" s="211" t="s">
        <v>205</v>
      </c>
      <c r="T15" s="205" t="s">
        <v>74</v>
      </c>
      <c r="U15" s="226" t="s">
        <v>207</v>
      </c>
      <c r="V15" s="226" t="s">
        <v>1152</v>
      </c>
      <c r="W15" s="199" t="s">
        <v>179</v>
      </c>
      <c r="X15" s="199" t="s">
        <v>208</v>
      </c>
      <c r="Y15" s="205" t="s">
        <v>74</v>
      </c>
      <c r="Z15" s="205"/>
      <c r="AA15" s="199" t="s">
        <v>209</v>
      </c>
      <c r="AB15" s="191">
        <v>43598</v>
      </c>
      <c r="AC15" s="206">
        <v>43617</v>
      </c>
      <c r="AD15" s="192">
        <v>43862</v>
      </c>
      <c r="AE15" s="193">
        <f t="shared" ca="1" si="45"/>
        <v>7</v>
      </c>
      <c r="AF15" s="193" t="str">
        <f>VLOOKUP(C15,'[1]T03.2024'!$B$8:$O$58,14,0)</f>
        <v>T02/2020</v>
      </c>
      <c r="AG15" s="193" t="s">
        <v>210</v>
      </c>
      <c r="AH15" s="193" t="s">
        <v>1662</v>
      </c>
      <c r="AI15" s="193"/>
      <c r="AJ15" s="193"/>
      <c r="AK15" s="193"/>
      <c r="AL15" s="193"/>
      <c r="AM15" s="193"/>
      <c r="AN15" s="193"/>
      <c r="AO15" s="193"/>
      <c r="AP15" s="211" t="s">
        <v>206</v>
      </c>
      <c r="AQ15" s="208">
        <v>5682000</v>
      </c>
      <c r="AR15" s="208"/>
      <c r="AS15" s="208"/>
      <c r="AT15" s="209"/>
      <c r="AU15" s="209"/>
      <c r="AV15" s="209"/>
      <c r="AW15" s="209"/>
      <c r="AX15" s="209"/>
      <c r="AY15" s="209"/>
      <c r="AZ15" s="209"/>
      <c r="BA15" s="209"/>
      <c r="BB15" s="209"/>
      <c r="BC15" s="209"/>
      <c r="BD15" s="209"/>
      <c r="BE15" s="209"/>
      <c r="BF15" s="210"/>
      <c r="BG15" s="181">
        <v>15</v>
      </c>
    </row>
    <row r="16" spans="1:59" ht="20.100000000000001" customHeight="1" x14ac:dyDescent="0.25">
      <c r="A16" s="181">
        <f>SUBTOTAL(3,$C$3:C16)</f>
        <v>14</v>
      </c>
      <c r="B16" s="198" t="s">
        <v>1736</v>
      </c>
      <c r="C16" s="199" t="s">
        <v>211</v>
      </c>
      <c r="D16" s="199" t="s">
        <v>34</v>
      </c>
      <c r="E16" s="200">
        <v>32235</v>
      </c>
      <c r="F16" s="184">
        <f t="shared" si="44"/>
        <v>4</v>
      </c>
      <c r="G16" s="214" t="s">
        <v>212</v>
      </c>
      <c r="H16" s="185" t="s">
        <v>213</v>
      </c>
      <c r="I16" s="186" t="s">
        <v>37</v>
      </c>
      <c r="J16" s="199" t="s">
        <v>214</v>
      </c>
      <c r="K16" s="199" t="s">
        <v>215</v>
      </c>
      <c r="L16" s="205" t="s">
        <v>216</v>
      </c>
      <c r="M16" s="205" t="s">
        <v>217</v>
      </c>
      <c r="N16" s="199" t="s">
        <v>41</v>
      </c>
      <c r="O16" s="227" t="s">
        <v>218</v>
      </c>
      <c r="P16" s="227"/>
      <c r="Q16" s="199" t="s">
        <v>219</v>
      </c>
      <c r="R16" s="199" t="s">
        <v>220</v>
      </c>
      <c r="S16" s="211" t="s">
        <v>221</v>
      </c>
      <c r="T16" s="205" t="s">
        <v>223</v>
      </c>
      <c r="U16" s="199" t="s">
        <v>224</v>
      </c>
      <c r="V16" s="226" t="s">
        <v>1152</v>
      </c>
      <c r="W16" s="199" t="s">
        <v>179</v>
      </c>
      <c r="X16" s="199" t="s">
        <v>225</v>
      </c>
      <c r="Y16" s="205" t="s">
        <v>223</v>
      </c>
      <c r="Z16" s="205"/>
      <c r="AA16" s="199" t="s">
        <v>226</v>
      </c>
      <c r="AB16" s="191">
        <v>44326</v>
      </c>
      <c r="AC16" s="206">
        <v>44326</v>
      </c>
      <c r="AD16" s="192">
        <v>44347</v>
      </c>
      <c r="AE16" s="193">
        <f t="shared" ca="1" si="45"/>
        <v>5</v>
      </c>
      <c r="AF16" s="193" t="str">
        <f>VLOOKUP(C16,'[1]T03.2024'!$B$8:$O$58,14,0)</f>
        <v>T06/2021</v>
      </c>
      <c r="AG16" s="193" t="s">
        <v>227</v>
      </c>
      <c r="AH16" s="193" t="s">
        <v>1662</v>
      </c>
      <c r="AI16" s="193"/>
      <c r="AJ16" s="193"/>
      <c r="AK16" s="193"/>
      <c r="AL16" s="193"/>
      <c r="AM16" s="193"/>
      <c r="AN16" s="193"/>
      <c r="AO16" s="193"/>
      <c r="AP16" s="211" t="s">
        <v>222</v>
      </c>
      <c r="AQ16" s="208">
        <v>5682000</v>
      </c>
      <c r="AR16" s="208"/>
      <c r="AS16" s="208"/>
      <c r="AT16" s="209"/>
      <c r="AU16" s="209"/>
      <c r="AV16" s="209"/>
      <c r="AW16" s="209"/>
      <c r="AX16" s="209"/>
      <c r="AY16" s="209"/>
      <c r="AZ16" s="209"/>
      <c r="BA16" s="209"/>
      <c r="BB16" s="209"/>
      <c r="BC16" s="209"/>
      <c r="BD16" s="209"/>
      <c r="BE16" s="209"/>
      <c r="BF16" s="209"/>
      <c r="BG16" s="181">
        <v>16</v>
      </c>
    </row>
    <row r="17" spans="1:59" ht="20.100000000000001" customHeight="1" x14ac:dyDescent="0.25">
      <c r="A17" s="181">
        <f>SUBTOTAL(3,$C$3:C17)</f>
        <v>15</v>
      </c>
      <c r="B17" s="198" t="s">
        <v>1767</v>
      </c>
      <c r="C17" s="199" t="s">
        <v>228</v>
      </c>
      <c r="D17" s="199" t="s">
        <v>34</v>
      </c>
      <c r="E17" s="200">
        <v>32157</v>
      </c>
      <c r="F17" s="184">
        <f t="shared" si="44"/>
        <v>1</v>
      </c>
      <c r="G17" s="228" t="s">
        <v>229</v>
      </c>
      <c r="H17" s="185">
        <v>45033</v>
      </c>
      <c r="I17" s="186" t="s">
        <v>37</v>
      </c>
      <c r="J17" s="199" t="s">
        <v>230</v>
      </c>
      <c r="K17" s="199" t="s">
        <v>231</v>
      </c>
      <c r="L17" s="205" t="s">
        <v>232</v>
      </c>
      <c r="M17" s="205">
        <v>7</v>
      </c>
      <c r="N17" s="199" t="s">
        <v>41</v>
      </c>
      <c r="O17" s="201" t="s">
        <v>233</v>
      </c>
      <c r="P17" s="201"/>
      <c r="Q17" s="229" t="s">
        <v>234</v>
      </c>
      <c r="R17" s="229" t="s">
        <v>71</v>
      </c>
      <c r="S17" s="211" t="s">
        <v>235</v>
      </c>
      <c r="T17" s="205" t="s">
        <v>237</v>
      </c>
      <c r="U17" s="199" t="s">
        <v>238</v>
      </c>
      <c r="V17" s="226" t="s">
        <v>1152</v>
      </c>
      <c r="W17" s="199" t="s">
        <v>179</v>
      </c>
      <c r="X17" s="199" t="s">
        <v>239</v>
      </c>
      <c r="Y17" s="205" t="s">
        <v>240</v>
      </c>
      <c r="Z17" s="205"/>
      <c r="AA17" s="199" t="s">
        <v>241</v>
      </c>
      <c r="AB17" s="191">
        <v>43693</v>
      </c>
      <c r="AC17" s="191">
        <v>43693</v>
      </c>
      <c r="AD17" s="192">
        <v>43891</v>
      </c>
      <c r="AE17" s="193">
        <f t="shared" ca="1" si="45"/>
        <v>6</v>
      </c>
      <c r="AF17" s="193" t="str">
        <f>VLOOKUP(C17,'[1]T03.2024'!$B$8:$O$58,14,0)</f>
        <v>T03/2020</v>
      </c>
      <c r="AG17" s="193" t="s">
        <v>242</v>
      </c>
      <c r="AH17" s="193" t="s">
        <v>1662</v>
      </c>
      <c r="AI17" s="193"/>
      <c r="AJ17" s="193"/>
      <c r="AK17" s="193"/>
      <c r="AL17" s="193"/>
      <c r="AM17" s="193"/>
      <c r="AN17" s="193"/>
      <c r="AO17" s="193"/>
      <c r="AP17" s="211" t="s">
        <v>236</v>
      </c>
      <c r="AQ17" s="208">
        <v>5682000</v>
      </c>
      <c r="AR17" s="208"/>
      <c r="AS17" s="208"/>
      <c r="AT17" s="209"/>
      <c r="AU17" s="209"/>
      <c r="AV17" s="209"/>
      <c r="AW17" s="209"/>
      <c r="AX17" s="209"/>
      <c r="AY17" s="209"/>
      <c r="AZ17" s="209"/>
      <c r="BA17" s="209"/>
      <c r="BB17" s="209"/>
      <c r="BC17" s="209"/>
      <c r="BD17" s="209"/>
      <c r="BE17" s="307"/>
      <c r="BF17" s="210"/>
      <c r="BG17" s="181">
        <v>17</v>
      </c>
    </row>
    <row r="18" spans="1:59" ht="20.100000000000001" customHeight="1" x14ac:dyDescent="0.25">
      <c r="A18" s="181">
        <f>SUBTOTAL(3,$C$3:C18)</f>
        <v>16</v>
      </c>
      <c r="B18" s="198" t="s">
        <v>1725</v>
      </c>
      <c r="C18" s="199" t="s">
        <v>243</v>
      </c>
      <c r="D18" s="199" t="s">
        <v>34</v>
      </c>
      <c r="E18" s="200">
        <v>33336</v>
      </c>
      <c r="F18" s="184">
        <f t="shared" si="44"/>
        <v>4</v>
      </c>
      <c r="G18" s="214" t="s">
        <v>244</v>
      </c>
      <c r="H18" s="185">
        <v>44798</v>
      </c>
      <c r="I18" s="186" t="s">
        <v>37</v>
      </c>
      <c r="J18" s="199" t="s">
        <v>245</v>
      </c>
      <c r="K18" s="199" t="s">
        <v>246</v>
      </c>
      <c r="L18" s="205" t="s">
        <v>247</v>
      </c>
      <c r="M18" s="205" t="s">
        <v>248</v>
      </c>
      <c r="N18" s="199" t="s">
        <v>41</v>
      </c>
      <c r="O18" s="201" t="s">
        <v>249</v>
      </c>
      <c r="P18" s="201"/>
      <c r="Q18" s="202" t="s">
        <v>250</v>
      </c>
      <c r="R18" s="202" t="s">
        <v>71</v>
      </c>
      <c r="S18" s="211" t="s">
        <v>251</v>
      </c>
      <c r="T18" s="222" t="s">
        <v>253</v>
      </c>
      <c r="U18" s="226" t="s">
        <v>1805</v>
      </c>
      <c r="V18" s="226" t="s">
        <v>1152</v>
      </c>
      <c r="W18" s="199" t="s">
        <v>179</v>
      </c>
      <c r="X18" s="199" t="s">
        <v>625</v>
      </c>
      <c r="Y18" s="205" t="s">
        <v>255</v>
      </c>
      <c r="Z18" s="205"/>
      <c r="AA18" s="199" t="s">
        <v>256</v>
      </c>
      <c r="AB18" s="191">
        <v>44004</v>
      </c>
      <c r="AC18" s="206">
        <v>44005</v>
      </c>
      <c r="AD18" s="192">
        <v>44075</v>
      </c>
      <c r="AE18" s="193">
        <f t="shared" ca="1" si="45"/>
        <v>6</v>
      </c>
      <c r="AF18" s="193" t="str">
        <f>VLOOKUP(C18,'[1]T03.2024'!$B$8:$O$58,14,0)</f>
        <v>T09/2020</v>
      </c>
      <c r="AG18" s="193" t="s">
        <v>257</v>
      </c>
      <c r="AH18" s="193" t="s">
        <v>1662</v>
      </c>
      <c r="AI18" s="193"/>
      <c r="AJ18" s="193"/>
      <c r="AK18" s="193"/>
      <c r="AL18" s="193"/>
      <c r="AM18" s="193"/>
      <c r="AN18" s="193"/>
      <c r="AO18" s="193"/>
      <c r="AP18" s="211" t="s">
        <v>252</v>
      </c>
      <c r="AQ18" s="208">
        <v>5682000</v>
      </c>
      <c r="AR18" s="208"/>
      <c r="AS18" s="208"/>
      <c r="AT18" s="209"/>
      <c r="AU18" s="209"/>
      <c r="AV18" s="209"/>
      <c r="AW18" s="209"/>
      <c r="AX18" s="209"/>
      <c r="AY18" s="209"/>
      <c r="AZ18" s="209"/>
      <c r="BA18" s="209"/>
      <c r="BB18" s="209"/>
      <c r="BC18" s="209"/>
      <c r="BD18" s="209"/>
      <c r="BE18" s="209"/>
      <c r="BF18" s="209"/>
      <c r="BG18" s="181">
        <v>18</v>
      </c>
    </row>
    <row r="19" spans="1:59" ht="20.100000000000001" customHeight="1" x14ac:dyDescent="0.25">
      <c r="A19" s="181">
        <f>SUBTOTAL(3,$C$3:C19)</f>
        <v>17</v>
      </c>
      <c r="B19" s="198" t="s">
        <v>1727</v>
      </c>
      <c r="C19" s="199" t="s">
        <v>239</v>
      </c>
      <c r="D19" s="199" t="s">
        <v>34</v>
      </c>
      <c r="E19" s="200">
        <v>29306</v>
      </c>
      <c r="F19" s="184">
        <f t="shared" si="44"/>
        <v>3</v>
      </c>
      <c r="G19" s="214" t="s">
        <v>258</v>
      </c>
      <c r="H19" s="185" t="s">
        <v>259</v>
      </c>
      <c r="I19" s="186" t="s">
        <v>37</v>
      </c>
      <c r="J19" s="199" t="s">
        <v>260</v>
      </c>
      <c r="K19" s="199" t="s">
        <v>261</v>
      </c>
      <c r="L19" s="205" t="s">
        <v>262</v>
      </c>
      <c r="M19" s="205" t="s">
        <v>263</v>
      </c>
      <c r="N19" s="199" t="s">
        <v>41</v>
      </c>
      <c r="O19" s="201" t="s">
        <v>264</v>
      </c>
      <c r="P19" s="201"/>
      <c r="Q19" s="202" t="s">
        <v>265</v>
      </c>
      <c r="R19" s="202" t="s">
        <v>71</v>
      </c>
      <c r="S19" s="211" t="s">
        <v>266</v>
      </c>
      <c r="T19" s="222" t="s">
        <v>268</v>
      </c>
      <c r="U19" s="199" t="s">
        <v>269</v>
      </c>
      <c r="V19" s="199" t="s">
        <v>1679</v>
      </c>
      <c r="W19" s="199" t="s">
        <v>179</v>
      </c>
      <c r="X19" s="199" t="s">
        <v>625</v>
      </c>
      <c r="Y19" s="205" t="s">
        <v>268</v>
      </c>
      <c r="Z19" s="205"/>
      <c r="AA19" s="199" t="s">
        <v>270</v>
      </c>
      <c r="AB19" s="191">
        <v>41395</v>
      </c>
      <c r="AC19" s="191">
        <v>41395</v>
      </c>
      <c r="AD19" s="192">
        <v>42795</v>
      </c>
      <c r="AE19" s="193">
        <f t="shared" ca="1" si="45"/>
        <v>13</v>
      </c>
      <c r="AF19" s="193" t="str">
        <f>VLOOKUP(C19,'[1]T03.2024'!$B$8:$O$58,14,0)</f>
        <v>T03/2017</v>
      </c>
      <c r="AG19" s="193" t="s">
        <v>271</v>
      </c>
      <c r="AH19" s="193" t="s">
        <v>1662</v>
      </c>
      <c r="AI19" s="193"/>
      <c r="AJ19" s="193"/>
      <c r="AK19" s="193"/>
      <c r="AL19" s="193"/>
      <c r="AM19" s="193"/>
      <c r="AN19" s="193"/>
      <c r="AO19" s="193"/>
      <c r="AP19" s="211" t="s">
        <v>267</v>
      </c>
      <c r="AQ19" s="208">
        <v>5682000</v>
      </c>
      <c r="AR19" s="208"/>
      <c r="AS19" s="208"/>
      <c r="AT19" s="209"/>
      <c r="AU19" s="209"/>
      <c r="AV19" s="209"/>
      <c r="AW19" s="209"/>
      <c r="AX19" s="209"/>
      <c r="AY19" s="209"/>
      <c r="AZ19" s="209"/>
      <c r="BA19" s="209"/>
      <c r="BB19" s="209"/>
      <c r="BC19" s="209"/>
      <c r="BD19" s="209"/>
      <c r="BE19" s="307"/>
      <c r="BF19" s="210"/>
      <c r="BG19" s="181">
        <v>19</v>
      </c>
    </row>
    <row r="20" spans="1:59" ht="20.100000000000001" customHeight="1" x14ac:dyDescent="0.25">
      <c r="A20" s="181">
        <f>SUBTOTAL(3,$C$3:C20)</f>
        <v>18</v>
      </c>
      <c r="B20" s="198" t="s">
        <v>1766</v>
      </c>
      <c r="C20" s="199" t="s">
        <v>272</v>
      </c>
      <c r="D20" s="199" t="s">
        <v>34</v>
      </c>
      <c r="E20" s="200">
        <v>29901</v>
      </c>
      <c r="F20" s="184">
        <f t="shared" si="44"/>
        <v>11</v>
      </c>
      <c r="G20" s="214" t="s">
        <v>273</v>
      </c>
      <c r="H20" s="185" t="s">
        <v>274</v>
      </c>
      <c r="I20" s="186" t="s">
        <v>37</v>
      </c>
      <c r="J20" s="199" t="s">
        <v>275</v>
      </c>
      <c r="K20" s="199" t="s">
        <v>276</v>
      </c>
      <c r="L20" s="205" t="s">
        <v>277</v>
      </c>
      <c r="M20" s="205" t="s">
        <v>278</v>
      </c>
      <c r="N20" s="199" t="s">
        <v>279</v>
      </c>
      <c r="O20" s="201" t="s">
        <v>280</v>
      </c>
      <c r="P20" s="201"/>
      <c r="Q20" s="202" t="s">
        <v>281</v>
      </c>
      <c r="R20" s="202" t="s">
        <v>282</v>
      </c>
      <c r="S20" s="211" t="s">
        <v>283</v>
      </c>
      <c r="T20" s="222" t="s">
        <v>285</v>
      </c>
      <c r="U20" s="199" t="s">
        <v>224</v>
      </c>
      <c r="V20" s="226" t="s">
        <v>1152</v>
      </c>
      <c r="W20" s="199" t="s">
        <v>179</v>
      </c>
      <c r="X20" s="199" t="s">
        <v>286</v>
      </c>
      <c r="Y20" s="205" t="s">
        <v>287</v>
      </c>
      <c r="Z20" s="205"/>
      <c r="AA20" s="223" t="s">
        <v>288</v>
      </c>
      <c r="AB20" s="191">
        <v>44007</v>
      </c>
      <c r="AC20" s="206">
        <v>44007</v>
      </c>
      <c r="AD20" s="192">
        <v>44075</v>
      </c>
      <c r="AE20" s="193">
        <f t="shared" ca="1" si="45"/>
        <v>6</v>
      </c>
      <c r="AF20" s="193" t="str">
        <f>VLOOKUP(C20,'[1]T03.2024'!$B$8:$O$58,14,0)</f>
        <v>T09/2020</v>
      </c>
      <c r="AG20" s="193" t="s">
        <v>289</v>
      </c>
      <c r="AH20" s="193" t="s">
        <v>1662</v>
      </c>
      <c r="AI20" s="193"/>
      <c r="AJ20" s="193"/>
      <c r="AK20" s="193"/>
      <c r="AL20" s="193"/>
      <c r="AM20" s="193"/>
      <c r="AN20" s="193"/>
      <c r="AO20" s="193"/>
      <c r="AP20" s="211" t="s">
        <v>284</v>
      </c>
      <c r="AQ20" s="208">
        <v>5682000</v>
      </c>
      <c r="AR20" s="208"/>
      <c r="AS20" s="208"/>
      <c r="AT20" s="209"/>
      <c r="AU20" s="209"/>
      <c r="AV20" s="209"/>
      <c r="AW20" s="209"/>
      <c r="AX20" s="209"/>
      <c r="AY20" s="209"/>
      <c r="AZ20" s="209"/>
      <c r="BA20" s="209"/>
      <c r="BB20" s="209"/>
      <c r="BC20" s="209"/>
      <c r="BD20" s="209"/>
      <c r="BE20" s="209"/>
      <c r="BF20" s="210"/>
      <c r="BG20" s="181">
        <v>20</v>
      </c>
    </row>
    <row r="21" spans="1:59" ht="19.95" customHeight="1" x14ac:dyDescent="0.25">
      <c r="A21" s="181">
        <f>SUBTOTAL(3,$C$3:C21)</f>
        <v>19</v>
      </c>
      <c r="B21" s="198" t="s">
        <v>1733</v>
      </c>
      <c r="C21" s="199" t="s">
        <v>301</v>
      </c>
      <c r="D21" s="199" t="s">
        <v>34</v>
      </c>
      <c r="E21" s="200">
        <v>25329</v>
      </c>
      <c r="F21" s="184">
        <f t="shared" si="44"/>
        <v>5</v>
      </c>
      <c r="G21" s="214" t="s">
        <v>302</v>
      </c>
      <c r="H21" s="185" t="s">
        <v>303</v>
      </c>
      <c r="I21" s="186" t="s">
        <v>37</v>
      </c>
      <c r="J21" s="199" t="s">
        <v>304</v>
      </c>
      <c r="K21" s="199" t="s">
        <v>305</v>
      </c>
      <c r="L21" s="205" t="s">
        <v>216</v>
      </c>
      <c r="M21" s="205" t="s">
        <v>217</v>
      </c>
      <c r="N21" s="199" t="s">
        <v>41</v>
      </c>
      <c r="O21" s="201" t="s">
        <v>306</v>
      </c>
      <c r="P21" s="201"/>
      <c r="Q21" s="202" t="s">
        <v>307</v>
      </c>
      <c r="R21" s="202" t="s">
        <v>204</v>
      </c>
      <c r="S21" s="211" t="s">
        <v>308</v>
      </c>
      <c r="T21" s="222" t="s">
        <v>103</v>
      </c>
      <c r="U21" s="222" t="s">
        <v>103</v>
      </c>
      <c r="V21" s="226" t="s">
        <v>1152</v>
      </c>
      <c r="W21" s="205" t="s">
        <v>310</v>
      </c>
      <c r="X21" s="199" t="s">
        <v>311</v>
      </c>
      <c r="Y21" s="205" t="s">
        <v>312</v>
      </c>
      <c r="Z21" s="205"/>
      <c r="AA21" s="199" t="s">
        <v>313</v>
      </c>
      <c r="AB21" s="191">
        <v>43983</v>
      </c>
      <c r="AC21" s="206">
        <v>43983</v>
      </c>
      <c r="AD21" s="192">
        <v>44564</v>
      </c>
      <c r="AE21" s="193">
        <f t="shared" ca="1" si="45"/>
        <v>6</v>
      </c>
      <c r="AF21" s="193" t="str">
        <f>VLOOKUP(C21,'[1]T03.2024'!$B$8:$O$58,14,0)</f>
        <v>T01/2022</v>
      </c>
      <c r="AG21" s="193" t="s">
        <v>314</v>
      </c>
      <c r="AH21" s="193" t="s">
        <v>1662</v>
      </c>
      <c r="AI21" s="193"/>
      <c r="AJ21" s="193"/>
      <c r="AK21" s="193"/>
      <c r="AL21" s="193"/>
      <c r="AM21" s="193"/>
      <c r="AN21" s="193"/>
      <c r="AO21" s="193"/>
      <c r="AP21" s="211" t="s">
        <v>309</v>
      </c>
      <c r="AQ21" s="208">
        <v>5682000</v>
      </c>
      <c r="AR21" s="208"/>
      <c r="AS21" s="208"/>
      <c r="AT21" s="209"/>
      <c r="AU21" s="209"/>
      <c r="AV21" s="209"/>
      <c r="AW21" s="209"/>
      <c r="AX21" s="209"/>
      <c r="AY21" s="209"/>
      <c r="AZ21" s="209"/>
      <c r="BA21" s="209"/>
      <c r="BB21" s="209"/>
      <c r="BC21" s="209"/>
      <c r="BD21" s="209"/>
      <c r="BE21" s="209"/>
      <c r="BF21" s="209"/>
      <c r="BG21" s="181">
        <v>22</v>
      </c>
    </row>
    <row r="22" spans="1:59" ht="20.100000000000001" customHeight="1" x14ac:dyDescent="0.25">
      <c r="A22" s="181">
        <f>SUBTOTAL(3,$C$3:C22)</f>
        <v>20</v>
      </c>
      <c r="B22" s="198" t="s">
        <v>1748</v>
      </c>
      <c r="C22" s="199" t="s">
        <v>315</v>
      </c>
      <c r="D22" s="199" t="s">
        <v>34</v>
      </c>
      <c r="E22" s="200">
        <v>29221</v>
      </c>
      <c r="F22" s="184">
        <f t="shared" si="44"/>
        <v>1</v>
      </c>
      <c r="G22" s="214" t="s">
        <v>316</v>
      </c>
      <c r="H22" s="185" t="s">
        <v>317</v>
      </c>
      <c r="I22" s="186" t="s">
        <v>37</v>
      </c>
      <c r="J22" s="199" t="s">
        <v>318</v>
      </c>
      <c r="K22" s="199" t="s">
        <v>305</v>
      </c>
      <c r="L22" s="205" t="s">
        <v>216</v>
      </c>
      <c r="M22" s="205" t="s">
        <v>217</v>
      </c>
      <c r="N22" s="199" t="s">
        <v>41</v>
      </c>
      <c r="O22" s="201" t="s">
        <v>319</v>
      </c>
      <c r="P22" s="201"/>
      <c r="Q22" s="202" t="s">
        <v>307</v>
      </c>
      <c r="R22" s="202" t="s">
        <v>204</v>
      </c>
      <c r="S22" s="211" t="s">
        <v>308</v>
      </c>
      <c r="T22" s="222" t="s">
        <v>103</v>
      </c>
      <c r="U22" s="222" t="s">
        <v>103</v>
      </c>
      <c r="V22" s="226" t="s">
        <v>1152</v>
      </c>
      <c r="W22" s="205" t="s">
        <v>310</v>
      </c>
      <c r="X22" s="199" t="s">
        <v>311</v>
      </c>
      <c r="Y22" s="205" t="s">
        <v>313</v>
      </c>
      <c r="Z22" s="205"/>
      <c r="AA22" s="199" t="s">
        <v>313</v>
      </c>
      <c r="AB22" s="206">
        <v>43983</v>
      </c>
      <c r="AC22" s="206">
        <v>43983</v>
      </c>
      <c r="AD22" s="192">
        <v>44564</v>
      </c>
      <c r="AE22" s="193">
        <f t="shared" ca="1" si="45"/>
        <v>6</v>
      </c>
      <c r="AF22" s="193" t="str">
        <f>VLOOKUP(C22,'[1]T03.2024'!$B$8:$O$58,14,0)</f>
        <v>T01/2022</v>
      </c>
      <c r="AG22" s="193" t="s">
        <v>321</v>
      </c>
      <c r="AH22" s="193" t="s">
        <v>1662</v>
      </c>
      <c r="AI22" s="193"/>
      <c r="AJ22" s="193"/>
      <c r="AK22" s="193"/>
      <c r="AL22" s="193"/>
      <c r="AM22" s="193"/>
      <c r="AN22" s="193"/>
      <c r="AO22" s="193"/>
      <c r="AP22" s="211" t="s">
        <v>320</v>
      </c>
      <c r="AQ22" s="208">
        <v>5682000</v>
      </c>
      <c r="AR22" s="208"/>
      <c r="AS22" s="208"/>
      <c r="AT22" s="209"/>
      <c r="AU22" s="209"/>
      <c r="AV22" s="209"/>
      <c r="AW22" s="209"/>
      <c r="AX22" s="209"/>
      <c r="AY22" s="209"/>
      <c r="AZ22" s="209"/>
      <c r="BA22" s="209"/>
      <c r="BB22" s="209"/>
      <c r="BC22" s="209"/>
      <c r="BD22" s="209"/>
      <c r="BE22" s="307"/>
      <c r="BF22" s="210"/>
      <c r="BG22" s="181">
        <v>23</v>
      </c>
    </row>
    <row r="23" spans="1:59" ht="20.100000000000001" customHeight="1" x14ac:dyDescent="0.25">
      <c r="A23" s="181">
        <f>SUBTOTAL(3,$C$3:C23)</f>
        <v>21</v>
      </c>
      <c r="B23" s="198" t="s">
        <v>1730</v>
      </c>
      <c r="C23" s="199" t="s">
        <v>322</v>
      </c>
      <c r="D23" s="199" t="s">
        <v>78</v>
      </c>
      <c r="E23" s="200">
        <v>31247</v>
      </c>
      <c r="F23" s="184">
        <f t="shared" si="44"/>
        <v>7</v>
      </c>
      <c r="G23" s="214" t="s">
        <v>323</v>
      </c>
      <c r="H23" s="185" t="s">
        <v>324</v>
      </c>
      <c r="I23" s="186" t="s">
        <v>37</v>
      </c>
      <c r="J23" s="199" t="s">
        <v>325</v>
      </c>
      <c r="K23" s="199" t="s">
        <v>326</v>
      </c>
      <c r="L23" s="205" t="s">
        <v>327</v>
      </c>
      <c r="M23" s="205" t="s">
        <v>40</v>
      </c>
      <c r="N23" s="199" t="s">
        <v>41</v>
      </c>
      <c r="O23" s="201" t="s">
        <v>328</v>
      </c>
      <c r="P23" s="201"/>
      <c r="Q23" s="202"/>
      <c r="R23" s="202" t="s">
        <v>220</v>
      </c>
      <c r="S23" s="207" t="s">
        <v>329</v>
      </c>
      <c r="T23" s="222"/>
      <c r="U23" s="199" t="s">
        <v>331</v>
      </c>
      <c r="V23" s="226" t="s">
        <v>1152</v>
      </c>
      <c r="W23" s="205" t="s">
        <v>310</v>
      </c>
      <c r="X23" s="199" t="s">
        <v>787</v>
      </c>
      <c r="Y23" s="205" t="s">
        <v>332</v>
      </c>
      <c r="Z23" s="205"/>
      <c r="AA23" s="199" t="s">
        <v>333</v>
      </c>
      <c r="AB23" s="191">
        <v>43992</v>
      </c>
      <c r="AC23" s="206">
        <v>43992</v>
      </c>
      <c r="AD23" s="192">
        <v>44835</v>
      </c>
      <c r="AE23" s="193">
        <f t="shared" ca="1" si="45"/>
        <v>6</v>
      </c>
      <c r="AF23" s="193" t="s">
        <v>334</v>
      </c>
      <c r="AG23" s="193" t="s">
        <v>335</v>
      </c>
      <c r="AH23" s="193" t="s">
        <v>1662</v>
      </c>
      <c r="AI23" s="193"/>
      <c r="AJ23" s="193"/>
      <c r="AK23" s="193"/>
      <c r="AL23" s="193"/>
      <c r="AM23" s="193"/>
      <c r="AN23" s="193"/>
      <c r="AO23" s="193"/>
      <c r="AP23" s="211" t="s">
        <v>330</v>
      </c>
      <c r="AQ23" s="208">
        <v>5682000</v>
      </c>
      <c r="AR23" s="208"/>
      <c r="AS23" s="208"/>
      <c r="AT23" s="209" t="s">
        <v>61</v>
      </c>
      <c r="AU23" s="209"/>
      <c r="AV23" s="209"/>
      <c r="AW23" s="209"/>
      <c r="AX23" s="209"/>
      <c r="AY23" s="209"/>
      <c r="AZ23" s="209"/>
      <c r="BA23" s="209"/>
      <c r="BB23" s="209"/>
      <c r="BC23" s="209"/>
      <c r="BD23" s="209"/>
      <c r="BE23" s="209"/>
      <c r="BF23" s="210"/>
      <c r="BG23" s="181">
        <v>24</v>
      </c>
    </row>
    <row r="24" spans="1:59" ht="20.100000000000001" customHeight="1" x14ac:dyDescent="0.25">
      <c r="A24" s="181">
        <f>SUBTOTAL(3,$C$3:C24)</f>
        <v>22</v>
      </c>
      <c r="B24" s="221" t="s">
        <v>1732</v>
      </c>
      <c r="C24" s="199" t="s">
        <v>311</v>
      </c>
      <c r="D24" s="199" t="s">
        <v>34</v>
      </c>
      <c r="E24" s="200">
        <v>32428</v>
      </c>
      <c r="F24" s="184">
        <f t="shared" si="44"/>
        <v>10</v>
      </c>
      <c r="G24" s="228" t="s">
        <v>336</v>
      </c>
      <c r="H24" s="185">
        <v>44928</v>
      </c>
      <c r="I24" s="186" t="s">
        <v>37</v>
      </c>
      <c r="J24" s="199" t="s">
        <v>337</v>
      </c>
      <c r="K24" s="199" t="s">
        <v>305</v>
      </c>
      <c r="L24" s="205" t="s">
        <v>216</v>
      </c>
      <c r="M24" s="205" t="s">
        <v>217</v>
      </c>
      <c r="N24" s="199" t="s">
        <v>41</v>
      </c>
      <c r="O24" s="201" t="s">
        <v>338</v>
      </c>
      <c r="P24" s="201"/>
      <c r="Q24" s="202" t="s">
        <v>339</v>
      </c>
      <c r="R24" s="202" t="s">
        <v>71</v>
      </c>
      <c r="S24" s="211" t="s">
        <v>340</v>
      </c>
      <c r="T24" s="222"/>
      <c r="U24" s="199" t="s">
        <v>342</v>
      </c>
      <c r="V24" s="226" t="s">
        <v>1152</v>
      </c>
      <c r="W24" s="205" t="s">
        <v>310</v>
      </c>
      <c r="X24" s="199" t="s">
        <v>743</v>
      </c>
      <c r="Y24" s="205" t="s">
        <v>313</v>
      </c>
      <c r="Z24" s="205"/>
      <c r="AA24" s="199" t="s">
        <v>343</v>
      </c>
      <c r="AB24" s="206">
        <v>41426</v>
      </c>
      <c r="AC24" s="206">
        <v>41426</v>
      </c>
      <c r="AD24" s="192">
        <v>42639</v>
      </c>
      <c r="AE24" s="193">
        <f t="shared" ca="1" si="45"/>
        <v>13</v>
      </c>
      <c r="AF24" s="193" t="str">
        <f>VLOOKUP(C24,'[1]T03.2024'!$B$8:$O$58,14,0)</f>
        <v>T10/2016</v>
      </c>
      <c r="AG24" s="193" t="s">
        <v>344</v>
      </c>
      <c r="AH24" s="193" t="s">
        <v>1662</v>
      </c>
      <c r="AI24" s="193"/>
      <c r="AJ24" s="193"/>
      <c r="AK24" s="193"/>
      <c r="AL24" s="193"/>
      <c r="AM24" s="193"/>
      <c r="AN24" s="193"/>
      <c r="AO24" s="193"/>
      <c r="AP24" s="211" t="s">
        <v>341</v>
      </c>
      <c r="AQ24" s="208">
        <v>5682000</v>
      </c>
      <c r="AR24" s="208"/>
      <c r="AS24" s="208"/>
      <c r="AT24" s="209"/>
      <c r="AU24" s="209"/>
      <c r="AV24" s="209"/>
      <c r="AW24" s="209"/>
      <c r="AX24" s="209"/>
      <c r="AY24" s="209"/>
      <c r="AZ24" s="209"/>
      <c r="BA24" s="209"/>
      <c r="BB24" s="209"/>
      <c r="BC24" s="209"/>
      <c r="BD24" s="209"/>
      <c r="BE24" s="209"/>
      <c r="BF24" s="210"/>
      <c r="BG24" s="181">
        <v>25</v>
      </c>
    </row>
    <row r="25" spans="1:59" ht="20.100000000000001" customHeight="1" x14ac:dyDescent="0.25">
      <c r="A25" s="181">
        <f>SUBTOTAL(3,$C$3:C25)</f>
        <v>23</v>
      </c>
      <c r="B25" s="198" t="s">
        <v>1731</v>
      </c>
      <c r="C25" s="199" t="s">
        <v>345</v>
      </c>
      <c r="D25" s="199" t="s">
        <v>78</v>
      </c>
      <c r="E25" s="200">
        <v>32880</v>
      </c>
      <c r="F25" s="184">
        <f t="shared" si="44"/>
        <v>1</v>
      </c>
      <c r="G25" s="214" t="s">
        <v>346</v>
      </c>
      <c r="H25" s="185" t="s">
        <v>347</v>
      </c>
      <c r="I25" s="186" t="s">
        <v>37</v>
      </c>
      <c r="J25" s="199" t="s">
        <v>348</v>
      </c>
      <c r="K25" s="199" t="s">
        <v>349</v>
      </c>
      <c r="L25" s="205" t="s">
        <v>350</v>
      </c>
      <c r="M25" s="205" t="s">
        <v>351</v>
      </c>
      <c r="N25" s="199" t="s">
        <v>41</v>
      </c>
      <c r="O25" s="201" t="s">
        <v>352</v>
      </c>
      <c r="P25" s="201"/>
      <c r="Q25" s="202"/>
      <c r="R25" s="202" t="s">
        <v>220</v>
      </c>
      <c r="S25" s="207" t="s">
        <v>353</v>
      </c>
      <c r="T25" s="222"/>
      <c r="U25" s="199" t="s">
        <v>331</v>
      </c>
      <c r="V25" s="226" t="s">
        <v>1152</v>
      </c>
      <c r="W25" s="205" t="s">
        <v>310</v>
      </c>
      <c r="X25" s="199" t="s">
        <v>787</v>
      </c>
      <c r="Y25" s="205" t="s">
        <v>355</v>
      </c>
      <c r="Z25" s="205"/>
      <c r="AA25" s="199" t="s">
        <v>356</v>
      </c>
      <c r="AB25" s="206">
        <v>42068</v>
      </c>
      <c r="AC25" s="206">
        <v>42068</v>
      </c>
      <c r="AD25" s="192">
        <v>42461</v>
      </c>
      <c r="AE25" s="193">
        <f t="shared" ca="1" si="45"/>
        <v>11</v>
      </c>
      <c r="AF25" s="193" t="str">
        <f>VLOOKUP(C25,'[1]T03.2024'!$B$8:$O$58,14,0)</f>
        <v>T04/2016</v>
      </c>
      <c r="AG25" s="193" t="s">
        <v>357</v>
      </c>
      <c r="AH25" s="193" t="s">
        <v>1662</v>
      </c>
      <c r="AI25" s="193"/>
      <c r="AJ25" s="193"/>
      <c r="AK25" s="193"/>
      <c r="AL25" s="193"/>
      <c r="AM25" s="193"/>
      <c r="AN25" s="193"/>
      <c r="AO25" s="193"/>
      <c r="AP25" s="211" t="s">
        <v>354</v>
      </c>
      <c r="AQ25" s="208">
        <v>5682000</v>
      </c>
      <c r="AR25" s="208"/>
      <c r="AS25" s="208"/>
      <c r="AT25" s="209"/>
      <c r="AU25" s="209"/>
      <c r="AV25" s="209"/>
      <c r="AW25" s="209"/>
      <c r="AX25" s="209"/>
      <c r="AY25" s="209"/>
      <c r="AZ25" s="209"/>
      <c r="BA25" s="209"/>
      <c r="BB25" s="209"/>
      <c r="BC25" s="209"/>
      <c r="BD25" s="209"/>
      <c r="BE25" s="209"/>
      <c r="BF25" s="210"/>
      <c r="BG25" s="181">
        <v>26</v>
      </c>
    </row>
    <row r="26" spans="1:59" ht="20.100000000000001" customHeight="1" x14ac:dyDescent="0.25">
      <c r="A26" s="181">
        <f>SUBTOTAL(3,$C$3:C26)</f>
        <v>24</v>
      </c>
      <c r="B26" s="198" t="s">
        <v>1759</v>
      </c>
      <c r="C26" s="199" t="s">
        <v>372</v>
      </c>
      <c r="D26" s="199" t="s">
        <v>78</v>
      </c>
      <c r="E26" s="200">
        <v>32086</v>
      </c>
      <c r="F26" s="184">
        <f t="shared" si="44"/>
        <v>11</v>
      </c>
      <c r="G26" s="214" t="s">
        <v>373</v>
      </c>
      <c r="H26" s="185" t="s">
        <v>132</v>
      </c>
      <c r="I26" s="186" t="s">
        <v>37</v>
      </c>
      <c r="J26" s="199" t="s">
        <v>374</v>
      </c>
      <c r="K26" s="199" t="s">
        <v>375</v>
      </c>
      <c r="L26" s="205" t="s">
        <v>376</v>
      </c>
      <c r="M26" s="205" t="s">
        <v>377</v>
      </c>
      <c r="N26" s="199" t="s">
        <v>378</v>
      </c>
      <c r="O26" s="227" t="s">
        <v>379</v>
      </c>
      <c r="P26" s="227"/>
      <c r="Q26" s="199" t="s">
        <v>380</v>
      </c>
      <c r="R26" s="199" t="s">
        <v>162</v>
      </c>
      <c r="S26" s="211" t="s">
        <v>381</v>
      </c>
      <c r="T26" s="222" t="s">
        <v>382</v>
      </c>
      <c r="U26" s="199" t="s">
        <v>382</v>
      </c>
      <c r="V26" s="226" t="s">
        <v>1152</v>
      </c>
      <c r="W26" s="205" t="s">
        <v>310</v>
      </c>
      <c r="X26" s="199" t="s">
        <v>743</v>
      </c>
      <c r="Y26" s="224" t="s">
        <v>117</v>
      </c>
      <c r="Z26" s="224"/>
      <c r="AA26" s="199" t="s">
        <v>383</v>
      </c>
      <c r="AB26" s="192">
        <v>41640</v>
      </c>
      <c r="AC26" s="192">
        <v>41640</v>
      </c>
      <c r="AD26" s="192">
        <v>43922</v>
      </c>
      <c r="AE26" s="193">
        <f t="shared" ca="1" si="45"/>
        <v>12</v>
      </c>
      <c r="AF26" s="193" t="s">
        <v>384</v>
      </c>
      <c r="AG26" s="193" t="s">
        <v>60</v>
      </c>
      <c r="AH26" s="193" t="s">
        <v>1662</v>
      </c>
      <c r="AI26" s="193"/>
      <c r="AJ26" s="193"/>
      <c r="AK26" s="193"/>
      <c r="AL26" s="193"/>
      <c r="AM26" s="193"/>
      <c r="AN26" s="193"/>
      <c r="AO26" s="193"/>
      <c r="AP26" s="211" t="e">
        <v>#N/A</v>
      </c>
      <c r="AQ26" s="208">
        <v>5682000</v>
      </c>
      <c r="AR26" s="208"/>
      <c r="AS26" s="208"/>
      <c r="AT26" s="209" t="s">
        <v>61</v>
      </c>
      <c r="AU26" s="209"/>
      <c r="AV26" s="209"/>
      <c r="AW26" s="209"/>
      <c r="AX26" s="209"/>
      <c r="AY26" s="209"/>
      <c r="AZ26" s="209"/>
      <c r="BA26" s="209"/>
      <c r="BB26" s="209"/>
      <c r="BC26" s="209"/>
      <c r="BD26" s="209"/>
      <c r="BE26" s="209"/>
      <c r="BF26" s="210"/>
      <c r="BG26" s="181">
        <v>29</v>
      </c>
    </row>
    <row r="27" spans="1:59" ht="20.100000000000001" customHeight="1" x14ac:dyDescent="0.25">
      <c r="A27" s="181">
        <f>SUBTOTAL(3,$C$3:C27)</f>
        <v>25</v>
      </c>
      <c r="B27" s="198" t="s">
        <v>1760</v>
      </c>
      <c r="C27" s="199" t="s">
        <v>385</v>
      </c>
      <c r="D27" s="199" t="s">
        <v>34</v>
      </c>
      <c r="E27" s="200">
        <v>34993</v>
      </c>
      <c r="F27" s="184">
        <f t="shared" si="44"/>
        <v>10</v>
      </c>
      <c r="G27" s="214" t="s">
        <v>386</v>
      </c>
      <c r="H27" s="185" t="s">
        <v>387</v>
      </c>
      <c r="I27" s="186" t="s">
        <v>37</v>
      </c>
      <c r="J27" s="199" t="s">
        <v>388</v>
      </c>
      <c r="K27" s="199" t="s">
        <v>389</v>
      </c>
      <c r="L27" s="205" t="s">
        <v>390</v>
      </c>
      <c r="M27" s="205" t="s">
        <v>391</v>
      </c>
      <c r="N27" s="199" t="s">
        <v>279</v>
      </c>
      <c r="O27" s="201" t="s">
        <v>392</v>
      </c>
      <c r="P27" s="201"/>
      <c r="Q27" s="202"/>
      <c r="R27" s="202" t="s">
        <v>220</v>
      </c>
      <c r="S27" s="207" t="s">
        <v>393</v>
      </c>
      <c r="T27" s="199" t="s">
        <v>74</v>
      </c>
      <c r="U27" s="199" t="s">
        <v>395</v>
      </c>
      <c r="V27" s="199" t="s">
        <v>1679</v>
      </c>
      <c r="W27" s="199" t="s">
        <v>179</v>
      </c>
      <c r="X27" s="199" t="s">
        <v>625</v>
      </c>
      <c r="Y27" s="205" t="s">
        <v>74</v>
      </c>
      <c r="Z27" s="205"/>
      <c r="AA27" s="199" t="s">
        <v>396</v>
      </c>
      <c r="AB27" s="192">
        <v>42795</v>
      </c>
      <c r="AC27" s="206">
        <v>43772</v>
      </c>
      <c r="AD27" s="192">
        <v>45962</v>
      </c>
      <c r="AE27" s="193">
        <f t="shared" ca="1" si="45"/>
        <v>6</v>
      </c>
      <c r="AF27" s="193" t="s">
        <v>1843</v>
      </c>
      <c r="AG27" s="193" t="s">
        <v>1844</v>
      </c>
      <c r="AH27" s="193" t="s">
        <v>1662</v>
      </c>
      <c r="AI27" s="193"/>
      <c r="AJ27" s="193"/>
      <c r="AK27" s="193"/>
      <c r="AL27" s="193"/>
      <c r="AM27" s="193"/>
      <c r="AN27" s="193"/>
      <c r="AO27" s="193"/>
      <c r="AP27" s="211" t="s">
        <v>394</v>
      </c>
      <c r="AQ27" s="208">
        <v>5682000</v>
      </c>
      <c r="AR27" s="208"/>
      <c r="AS27" s="208"/>
      <c r="AT27" s="209" t="s">
        <v>397</v>
      </c>
      <c r="AU27" s="209"/>
      <c r="AV27" s="209"/>
      <c r="AW27" s="209"/>
      <c r="AX27" s="209"/>
      <c r="AY27" s="209"/>
      <c r="AZ27" s="209"/>
      <c r="BA27" s="209"/>
      <c r="BB27" s="209"/>
      <c r="BC27" s="209"/>
      <c r="BD27" s="209"/>
      <c r="BE27" s="209"/>
      <c r="BF27" s="210"/>
      <c r="BG27" s="181">
        <v>30</v>
      </c>
    </row>
    <row r="28" spans="1:59" ht="20.100000000000001" customHeight="1" x14ac:dyDescent="0.25">
      <c r="A28" s="181">
        <f>SUBTOTAL(3,$C$3:C28)</f>
        <v>26</v>
      </c>
      <c r="B28" s="198" t="s">
        <v>1737</v>
      </c>
      <c r="C28" s="199" t="s">
        <v>398</v>
      </c>
      <c r="D28" s="199" t="s">
        <v>34</v>
      </c>
      <c r="E28" s="200">
        <v>32874</v>
      </c>
      <c r="F28" s="184">
        <f t="shared" si="44"/>
        <v>1</v>
      </c>
      <c r="G28" s="214" t="s">
        <v>399</v>
      </c>
      <c r="H28" s="185" t="s">
        <v>347</v>
      </c>
      <c r="I28" s="186" t="s">
        <v>37</v>
      </c>
      <c r="J28" s="199" t="s">
        <v>400</v>
      </c>
      <c r="K28" s="199" t="s">
        <v>401</v>
      </c>
      <c r="L28" s="205" t="s">
        <v>402</v>
      </c>
      <c r="M28" s="205" t="s">
        <v>403</v>
      </c>
      <c r="N28" s="199" t="s">
        <v>41</v>
      </c>
      <c r="O28" s="201" t="s">
        <v>404</v>
      </c>
      <c r="P28" s="201"/>
      <c r="Q28" s="202" t="s">
        <v>405</v>
      </c>
      <c r="R28" s="202" t="s">
        <v>71</v>
      </c>
      <c r="S28" s="211" t="s">
        <v>406</v>
      </c>
      <c r="T28" s="222" t="s">
        <v>285</v>
      </c>
      <c r="U28" s="199" t="s">
        <v>224</v>
      </c>
      <c r="V28" s="226" t="s">
        <v>1152</v>
      </c>
      <c r="W28" s="199" t="s">
        <v>179</v>
      </c>
      <c r="X28" s="199" t="s">
        <v>286</v>
      </c>
      <c r="Y28" s="205" t="s">
        <v>287</v>
      </c>
      <c r="Z28" s="205"/>
      <c r="AA28" s="199" t="s">
        <v>408</v>
      </c>
      <c r="AB28" s="192">
        <v>42795</v>
      </c>
      <c r="AC28" s="192">
        <v>42795</v>
      </c>
      <c r="AD28" s="192">
        <v>42795</v>
      </c>
      <c r="AE28" s="193">
        <f t="shared" ca="1" si="45"/>
        <v>9</v>
      </c>
      <c r="AF28" s="193" t="str">
        <f>VLOOKUP(C28,'[1]T03.2024'!$B$8:$O$58,14,0)</f>
        <v>T03/2017</v>
      </c>
      <c r="AG28" s="193" t="s">
        <v>409</v>
      </c>
      <c r="AH28" s="193" t="s">
        <v>1662</v>
      </c>
      <c r="AI28" s="193"/>
      <c r="AJ28" s="193"/>
      <c r="AK28" s="193"/>
      <c r="AL28" s="193"/>
      <c r="AM28" s="193"/>
      <c r="AN28" s="193"/>
      <c r="AO28" s="193"/>
      <c r="AP28" s="211" t="s">
        <v>407</v>
      </c>
      <c r="AQ28" s="208">
        <v>5682000</v>
      </c>
      <c r="AR28" s="208"/>
      <c r="AS28" s="208"/>
      <c r="AT28" s="209"/>
      <c r="AU28" s="209"/>
      <c r="AV28" s="209"/>
      <c r="AW28" s="209"/>
      <c r="AX28" s="209"/>
      <c r="AY28" s="209"/>
      <c r="AZ28" s="209"/>
      <c r="BA28" s="209"/>
      <c r="BB28" s="209"/>
      <c r="BC28" s="209"/>
      <c r="BD28" s="209"/>
      <c r="BE28" s="209"/>
      <c r="BF28" s="210"/>
      <c r="BG28" s="181">
        <v>31</v>
      </c>
    </row>
    <row r="29" spans="1:59" ht="20.100000000000001" customHeight="1" x14ac:dyDescent="0.25">
      <c r="A29" s="181">
        <f>SUBTOTAL(3,$C$3:C29)</f>
        <v>27</v>
      </c>
      <c r="B29" s="198" t="s">
        <v>1761</v>
      </c>
      <c r="C29" s="199" t="s">
        <v>410</v>
      </c>
      <c r="D29" s="199" t="s">
        <v>34</v>
      </c>
      <c r="E29" s="200">
        <v>26076</v>
      </c>
      <c r="F29" s="184">
        <f t="shared" si="44"/>
        <v>5</v>
      </c>
      <c r="G29" s="214" t="s">
        <v>411</v>
      </c>
      <c r="H29" s="185" t="s">
        <v>412</v>
      </c>
      <c r="I29" s="186" t="s">
        <v>37</v>
      </c>
      <c r="J29" s="199" t="s">
        <v>413</v>
      </c>
      <c r="K29" s="199" t="s">
        <v>414</v>
      </c>
      <c r="L29" s="205" t="s">
        <v>415</v>
      </c>
      <c r="M29" s="205" t="s">
        <v>416</v>
      </c>
      <c r="N29" s="199" t="s">
        <v>417</v>
      </c>
      <c r="O29" s="201" t="s">
        <v>418</v>
      </c>
      <c r="P29" s="201"/>
      <c r="Q29" s="202"/>
      <c r="R29" s="202" t="s">
        <v>220</v>
      </c>
      <c r="S29" s="211" t="s">
        <v>419</v>
      </c>
      <c r="T29" s="222" t="s">
        <v>285</v>
      </c>
      <c r="U29" s="199" t="s">
        <v>224</v>
      </c>
      <c r="V29" s="226" t="s">
        <v>1152</v>
      </c>
      <c r="W29" s="199" t="s">
        <v>179</v>
      </c>
      <c r="X29" s="199" t="s">
        <v>421</v>
      </c>
      <c r="Y29" s="224" t="s">
        <v>105</v>
      </c>
      <c r="Z29" s="224"/>
      <c r="AA29" s="199" t="s">
        <v>422</v>
      </c>
      <c r="AB29" s="191">
        <v>43452</v>
      </c>
      <c r="AC29" s="192">
        <v>43452</v>
      </c>
      <c r="AD29" s="192">
        <v>43452</v>
      </c>
      <c r="AE29" s="193">
        <f t="shared" ca="1" si="45"/>
        <v>7</v>
      </c>
      <c r="AF29" s="193" t="str">
        <f>VLOOKUP(C29,'[1]T03.2024'!$B$8:$O$58,14,0)</f>
        <v>T01/2019</v>
      </c>
      <c r="AG29" s="193" t="s">
        <v>423</v>
      </c>
      <c r="AH29" s="193" t="s">
        <v>1662</v>
      </c>
      <c r="AI29" s="193"/>
      <c r="AJ29" s="193"/>
      <c r="AK29" s="193"/>
      <c r="AL29" s="193"/>
      <c r="AM29" s="193"/>
      <c r="AN29" s="193"/>
      <c r="AO29" s="193"/>
      <c r="AP29" s="211" t="s">
        <v>420</v>
      </c>
      <c r="AQ29" s="208">
        <v>5682000</v>
      </c>
      <c r="AR29" s="208"/>
      <c r="AS29" s="208"/>
      <c r="AT29" s="209"/>
      <c r="AU29" s="209"/>
      <c r="AV29" s="209"/>
      <c r="AW29" s="209"/>
      <c r="AX29" s="209"/>
      <c r="AY29" s="209"/>
      <c r="AZ29" s="209"/>
      <c r="BA29" s="209"/>
      <c r="BB29" s="209"/>
      <c r="BC29" s="209"/>
      <c r="BD29" s="209"/>
      <c r="BE29" s="209"/>
      <c r="BF29" s="209"/>
      <c r="BG29" s="181">
        <v>33</v>
      </c>
    </row>
    <row r="30" spans="1:59" ht="20.100000000000001" customHeight="1" x14ac:dyDescent="0.25">
      <c r="A30" s="181">
        <f>SUBTOTAL(3,$C$3:C30)</f>
        <v>28</v>
      </c>
      <c r="B30" s="221" t="s">
        <v>1764</v>
      </c>
      <c r="C30" s="199" t="s">
        <v>286</v>
      </c>
      <c r="D30" s="199" t="s">
        <v>34</v>
      </c>
      <c r="E30" s="200">
        <v>32523</v>
      </c>
      <c r="F30" s="184">
        <f t="shared" si="44"/>
        <v>1</v>
      </c>
      <c r="G30" s="214" t="s">
        <v>424</v>
      </c>
      <c r="H30" s="185" t="s">
        <v>425</v>
      </c>
      <c r="I30" s="186" t="s">
        <v>37</v>
      </c>
      <c r="J30" s="199" t="s">
        <v>426</v>
      </c>
      <c r="K30" s="199" t="s">
        <v>426</v>
      </c>
      <c r="L30" s="205" t="s">
        <v>427</v>
      </c>
      <c r="M30" s="205" t="s">
        <v>428</v>
      </c>
      <c r="N30" s="199" t="s">
        <v>429</v>
      </c>
      <c r="O30" s="201" t="s">
        <v>430</v>
      </c>
      <c r="P30" s="201"/>
      <c r="Q30" s="202"/>
      <c r="R30" s="202" t="s">
        <v>71</v>
      </c>
      <c r="S30" s="211" t="s">
        <v>431</v>
      </c>
      <c r="T30" s="199" t="s">
        <v>74</v>
      </c>
      <c r="U30" s="199" t="s">
        <v>395</v>
      </c>
      <c r="V30" s="199" t="s">
        <v>1679</v>
      </c>
      <c r="W30" s="199" t="s">
        <v>179</v>
      </c>
      <c r="X30" s="199" t="s">
        <v>625</v>
      </c>
      <c r="Y30" s="205" t="s">
        <v>74</v>
      </c>
      <c r="Z30" s="205"/>
      <c r="AA30" s="199" t="s">
        <v>433</v>
      </c>
      <c r="AB30" s="191">
        <v>43570</v>
      </c>
      <c r="AC30" s="206">
        <v>43575</v>
      </c>
      <c r="AD30" s="192">
        <v>43556</v>
      </c>
      <c r="AE30" s="193">
        <f t="shared" ca="1" si="45"/>
        <v>7</v>
      </c>
      <c r="AF30" s="193" t="str">
        <f>VLOOKUP(C30,'[1]T03.2024'!$B$8:$O$58,14,0)</f>
        <v>T04/2019</v>
      </c>
      <c r="AG30" s="193" t="s">
        <v>434</v>
      </c>
      <c r="AH30" s="193" t="s">
        <v>1662</v>
      </c>
      <c r="AI30" s="193"/>
      <c r="AJ30" s="193"/>
      <c r="AK30" s="193"/>
      <c r="AL30" s="193"/>
      <c r="AM30" s="193"/>
      <c r="AN30" s="193"/>
      <c r="AO30" s="193"/>
      <c r="AP30" s="211" t="s">
        <v>432</v>
      </c>
      <c r="AQ30" s="208">
        <v>5682000</v>
      </c>
      <c r="AR30" s="208"/>
      <c r="AS30" s="208"/>
      <c r="AT30" s="209"/>
      <c r="AU30" s="209"/>
      <c r="AV30" s="209"/>
      <c r="AW30" s="209"/>
      <c r="AX30" s="209"/>
      <c r="AY30" s="209"/>
      <c r="AZ30" s="209"/>
      <c r="BA30" s="209"/>
      <c r="BB30" s="209"/>
      <c r="BC30" s="209"/>
      <c r="BD30" s="209"/>
      <c r="BE30" s="307"/>
      <c r="BF30" s="210"/>
      <c r="BG30" s="181">
        <v>34</v>
      </c>
    </row>
    <row r="31" spans="1:59" s="49" customFormat="1" ht="20.100000000000001" customHeight="1" x14ac:dyDescent="0.25">
      <c r="A31" s="181">
        <f>SUBTOTAL(3,$C$3:C31)</f>
        <v>29</v>
      </c>
      <c r="B31" s="198" t="s">
        <v>1763</v>
      </c>
      <c r="C31" s="190" t="s">
        <v>435</v>
      </c>
      <c r="D31" s="190" t="s">
        <v>34</v>
      </c>
      <c r="E31" s="230">
        <v>18553</v>
      </c>
      <c r="F31" s="184">
        <f t="shared" si="44"/>
        <v>10</v>
      </c>
      <c r="G31" s="214" t="s">
        <v>436</v>
      </c>
      <c r="H31" s="185" t="s">
        <v>437</v>
      </c>
      <c r="I31" s="215" t="s">
        <v>37</v>
      </c>
      <c r="J31" s="190" t="s">
        <v>438</v>
      </c>
      <c r="K31" s="190" t="s">
        <v>439</v>
      </c>
      <c r="L31" s="182" t="s">
        <v>440</v>
      </c>
      <c r="M31" s="182" t="s">
        <v>351</v>
      </c>
      <c r="N31" s="190" t="s">
        <v>41</v>
      </c>
      <c r="O31" s="231" t="s">
        <v>441</v>
      </c>
      <c r="P31" s="231"/>
      <c r="Q31" s="232" t="s">
        <v>442</v>
      </c>
      <c r="R31" s="232" t="s">
        <v>71</v>
      </c>
      <c r="S31" s="188" t="s">
        <v>443</v>
      </c>
      <c r="T31" s="187" t="s">
        <v>382</v>
      </c>
      <c r="U31" s="190" t="s">
        <v>382</v>
      </c>
      <c r="V31" s="226" t="s">
        <v>1152</v>
      </c>
      <c r="W31" s="205" t="s">
        <v>310</v>
      </c>
      <c r="X31" s="190" t="s">
        <v>311</v>
      </c>
      <c r="Y31" s="233" t="s">
        <v>105</v>
      </c>
      <c r="Z31" s="233"/>
      <c r="AA31" s="190" t="s">
        <v>445</v>
      </c>
      <c r="AB31" s="191">
        <v>43750</v>
      </c>
      <c r="AC31" s="191">
        <v>43811</v>
      </c>
      <c r="AD31" s="181">
        <v>0</v>
      </c>
      <c r="AE31" s="193">
        <f t="shared" ca="1" si="45"/>
        <v>6</v>
      </c>
      <c r="AF31" s="193"/>
      <c r="AG31" s="220"/>
      <c r="AH31" s="193" t="s">
        <v>1662</v>
      </c>
      <c r="AI31" s="220"/>
      <c r="AJ31" s="220"/>
      <c r="AK31" s="220"/>
      <c r="AL31" s="220"/>
      <c r="AM31" s="220"/>
      <c r="AN31" s="220"/>
      <c r="AO31" s="220"/>
      <c r="AP31" s="188" t="s">
        <v>444</v>
      </c>
      <c r="AQ31" s="234"/>
      <c r="AR31" s="234"/>
      <c r="AS31" s="234"/>
      <c r="AT31" s="190" t="s">
        <v>446</v>
      </c>
      <c r="AU31" s="190"/>
      <c r="AV31" s="190"/>
      <c r="AW31" s="190"/>
      <c r="AX31" s="190"/>
      <c r="AY31" s="190"/>
      <c r="AZ31" s="190"/>
      <c r="BA31" s="190"/>
      <c r="BB31" s="190"/>
      <c r="BC31" s="190"/>
      <c r="BD31" s="190"/>
      <c r="BE31" s="190"/>
      <c r="BF31" s="235"/>
      <c r="BG31" s="181">
        <v>35</v>
      </c>
    </row>
    <row r="32" spans="1:59" ht="20.100000000000001" customHeight="1" x14ac:dyDescent="0.25">
      <c r="A32" s="181">
        <f>SUBTOTAL(3,$C$3:C32)</f>
        <v>30</v>
      </c>
      <c r="B32" s="221" t="s">
        <v>1746</v>
      </c>
      <c r="C32" s="199" t="s">
        <v>447</v>
      </c>
      <c r="D32" s="199" t="s">
        <v>34</v>
      </c>
      <c r="E32" s="200">
        <v>32303</v>
      </c>
      <c r="F32" s="184">
        <f t="shared" si="44"/>
        <v>6</v>
      </c>
      <c r="G32" s="214" t="s">
        <v>448</v>
      </c>
      <c r="H32" s="185" t="s">
        <v>449</v>
      </c>
      <c r="I32" s="186" t="s">
        <v>37</v>
      </c>
      <c r="J32" s="199" t="s">
        <v>450</v>
      </c>
      <c r="K32" s="199" t="s">
        <v>451</v>
      </c>
      <c r="L32" s="205" t="s">
        <v>452</v>
      </c>
      <c r="M32" s="205" t="s">
        <v>453</v>
      </c>
      <c r="N32" s="199" t="s">
        <v>417</v>
      </c>
      <c r="O32" s="202" t="s">
        <v>454</v>
      </c>
      <c r="P32" s="202"/>
      <c r="Q32" s="199" t="s">
        <v>455</v>
      </c>
      <c r="R32" s="199" t="s">
        <v>71</v>
      </c>
      <c r="S32" s="203" t="s">
        <v>456</v>
      </c>
      <c r="T32" s="236" t="s">
        <v>458</v>
      </c>
      <c r="U32" s="199" t="s">
        <v>238</v>
      </c>
      <c r="V32" s="226" t="s">
        <v>1152</v>
      </c>
      <c r="W32" s="205" t="s">
        <v>179</v>
      </c>
      <c r="X32" s="199" t="s">
        <v>239</v>
      </c>
      <c r="Y32" s="205" t="s">
        <v>459</v>
      </c>
      <c r="Z32" s="205"/>
      <c r="AA32" s="223" t="s">
        <v>460</v>
      </c>
      <c r="AB32" s="192">
        <v>44487</v>
      </c>
      <c r="AC32" s="192">
        <v>44487</v>
      </c>
      <c r="AD32" s="192">
        <v>44487</v>
      </c>
      <c r="AE32" s="193">
        <f t="shared" ca="1" si="45"/>
        <v>4</v>
      </c>
      <c r="AF32" s="193" t="str">
        <f>VLOOKUP(C32,'[1]T03.2024'!$B$8:$O$58,14,0)</f>
        <v>T11/2021</v>
      </c>
      <c r="AG32" s="193" t="s">
        <v>461</v>
      </c>
      <c r="AH32" s="193" t="s">
        <v>1662</v>
      </c>
      <c r="AI32" s="193"/>
      <c r="AJ32" s="193"/>
      <c r="AK32" s="193"/>
      <c r="AL32" s="193"/>
      <c r="AM32" s="193"/>
      <c r="AN32" s="193"/>
      <c r="AO32" s="193"/>
      <c r="AP32" s="203" t="s">
        <v>457</v>
      </c>
      <c r="AQ32" s="208">
        <v>5682000</v>
      </c>
      <c r="AR32" s="208"/>
      <c r="AS32" s="208"/>
      <c r="AT32" s="209"/>
      <c r="AU32" s="209"/>
      <c r="AV32" s="209"/>
      <c r="AW32" s="209"/>
      <c r="AX32" s="209"/>
      <c r="AY32" s="209"/>
      <c r="AZ32" s="209"/>
      <c r="BA32" s="209"/>
      <c r="BB32" s="209"/>
      <c r="BC32" s="209"/>
      <c r="BD32" s="209"/>
      <c r="BE32" s="209"/>
      <c r="BF32" s="209"/>
      <c r="BG32" s="181">
        <v>36</v>
      </c>
    </row>
    <row r="33" spans="1:59" ht="20.100000000000001" customHeight="1" x14ac:dyDescent="0.25">
      <c r="A33" s="181">
        <f>SUBTOTAL(3,$C$3:C33)</f>
        <v>31</v>
      </c>
      <c r="B33" s="198" t="s">
        <v>1769</v>
      </c>
      <c r="C33" s="199" t="s">
        <v>462</v>
      </c>
      <c r="D33" s="199" t="s">
        <v>34</v>
      </c>
      <c r="E33" s="237">
        <v>27395</v>
      </c>
      <c r="F33" s="184">
        <f t="shared" si="44"/>
        <v>1</v>
      </c>
      <c r="G33" s="214" t="s">
        <v>463</v>
      </c>
      <c r="H33" s="185" t="s">
        <v>80</v>
      </c>
      <c r="I33" s="186" t="s">
        <v>37</v>
      </c>
      <c r="J33" s="199" t="s">
        <v>464</v>
      </c>
      <c r="K33" s="199" t="s">
        <v>465</v>
      </c>
      <c r="L33" s="205" t="s">
        <v>466</v>
      </c>
      <c r="M33" s="205" t="s">
        <v>391</v>
      </c>
      <c r="N33" s="199" t="s">
        <v>279</v>
      </c>
      <c r="O33" s="226" t="s">
        <v>467</v>
      </c>
      <c r="P33" s="226"/>
      <c r="Q33" s="209"/>
      <c r="R33" s="209"/>
      <c r="S33" s="203"/>
      <c r="T33" s="236" t="s">
        <v>127</v>
      </c>
      <c r="U33" s="209" t="s">
        <v>127</v>
      </c>
      <c r="V33" s="226" t="s">
        <v>1152</v>
      </c>
      <c r="W33" s="205" t="s">
        <v>89</v>
      </c>
      <c r="X33" s="209" t="s">
        <v>385</v>
      </c>
      <c r="Y33" s="196" t="s">
        <v>128</v>
      </c>
      <c r="Z33" s="196"/>
      <c r="AA33" s="209" t="s">
        <v>445</v>
      </c>
      <c r="AB33" s="192">
        <v>44341</v>
      </c>
      <c r="AC33" s="192">
        <v>44402</v>
      </c>
      <c r="AD33" s="181">
        <v>0</v>
      </c>
      <c r="AE33" s="193">
        <f t="shared" ca="1" si="45"/>
        <v>5</v>
      </c>
      <c r="AF33" s="193"/>
      <c r="AG33" s="193"/>
      <c r="AH33" s="193" t="s">
        <v>1662</v>
      </c>
      <c r="AI33" s="193"/>
      <c r="AJ33" s="193"/>
      <c r="AK33" s="193"/>
      <c r="AL33" s="193"/>
      <c r="AM33" s="193"/>
      <c r="AN33" s="193"/>
      <c r="AO33" s="193"/>
      <c r="AP33" s="203" t="s">
        <v>444</v>
      </c>
      <c r="AQ33" s="208"/>
      <c r="AR33" s="208"/>
      <c r="AS33" s="208"/>
      <c r="AT33" s="190" t="s">
        <v>446</v>
      </c>
      <c r="AU33" s="190"/>
      <c r="AV33" s="190"/>
      <c r="AW33" s="190"/>
      <c r="AX33" s="190"/>
      <c r="AY33" s="190"/>
      <c r="AZ33" s="190"/>
      <c r="BA33" s="190"/>
      <c r="BB33" s="190"/>
      <c r="BC33" s="190"/>
      <c r="BD33" s="190"/>
      <c r="BE33" s="368"/>
      <c r="BF33" s="210"/>
      <c r="BG33" s="181">
        <v>37</v>
      </c>
    </row>
    <row r="34" spans="1:59" ht="20.100000000000001" customHeight="1" x14ac:dyDescent="0.25">
      <c r="A34" s="181">
        <f>SUBTOTAL(3,$C$3:C34)</f>
        <v>32</v>
      </c>
      <c r="B34" s="198" t="s">
        <v>1751</v>
      </c>
      <c r="C34" s="199" t="s">
        <v>468</v>
      </c>
      <c r="D34" s="199" t="s">
        <v>34</v>
      </c>
      <c r="E34" s="237">
        <v>28628</v>
      </c>
      <c r="F34" s="184">
        <f t="shared" ref="F34:F59" si="46">MONTH(E34)</f>
        <v>5</v>
      </c>
      <c r="G34" s="214" t="s">
        <v>469</v>
      </c>
      <c r="H34" s="185" t="s">
        <v>470</v>
      </c>
      <c r="I34" s="186" t="s">
        <v>37</v>
      </c>
      <c r="J34" s="199" t="s">
        <v>471</v>
      </c>
      <c r="K34" s="199" t="s">
        <v>472</v>
      </c>
      <c r="L34" s="205" t="s">
        <v>473</v>
      </c>
      <c r="M34" s="205" t="s">
        <v>474</v>
      </c>
      <c r="N34" s="199" t="s">
        <v>475</v>
      </c>
      <c r="O34" s="226" t="s">
        <v>476</v>
      </c>
      <c r="P34" s="226"/>
      <c r="Q34" s="209" t="s">
        <v>477</v>
      </c>
      <c r="R34" s="209" t="s">
        <v>478</v>
      </c>
      <c r="S34" s="238" t="s">
        <v>479</v>
      </c>
      <c r="T34" s="236" t="s">
        <v>382</v>
      </c>
      <c r="U34" s="209" t="s">
        <v>382</v>
      </c>
      <c r="V34" s="226" t="s">
        <v>1152</v>
      </c>
      <c r="W34" s="205" t="s">
        <v>310</v>
      </c>
      <c r="X34" s="209" t="s">
        <v>481</v>
      </c>
      <c r="Y34" s="196" t="s">
        <v>105</v>
      </c>
      <c r="Z34" s="196"/>
      <c r="AA34" s="209" t="s">
        <v>482</v>
      </c>
      <c r="AB34" s="192">
        <v>44487</v>
      </c>
      <c r="AC34" s="192">
        <v>44518</v>
      </c>
      <c r="AD34" s="239" t="s">
        <v>483</v>
      </c>
      <c r="AE34" s="193">
        <f t="shared" ref="AE34:AE59" ca="1" si="47">DATEDIF(AC34,$BF$2,"y")</f>
        <v>4</v>
      </c>
      <c r="AF34" s="193" t="str">
        <f>VLOOKUP(C34,'[1]T03.2024'!$B$8:$O$58,14,0)</f>
        <v>T01/2022</v>
      </c>
      <c r="AG34" s="193" t="s">
        <v>484</v>
      </c>
      <c r="AH34" s="193" t="s">
        <v>1662</v>
      </c>
      <c r="AI34" s="193"/>
      <c r="AJ34" s="193"/>
      <c r="AK34" s="193"/>
      <c r="AL34" s="193"/>
      <c r="AM34" s="193"/>
      <c r="AN34" s="193"/>
      <c r="AO34" s="193"/>
      <c r="AP34" s="203" t="s">
        <v>480</v>
      </c>
      <c r="AQ34" s="208">
        <v>5682000</v>
      </c>
      <c r="AR34" s="208"/>
      <c r="AS34" s="208"/>
      <c r="AT34" s="209"/>
      <c r="AU34" s="209"/>
      <c r="AV34" s="209"/>
      <c r="AW34" s="209"/>
      <c r="AX34" s="209"/>
      <c r="AY34" s="209"/>
      <c r="AZ34" s="209"/>
      <c r="BA34" s="209"/>
      <c r="BB34" s="209"/>
      <c r="BC34" s="209"/>
      <c r="BD34" s="209"/>
      <c r="BE34" s="209"/>
      <c r="BF34" s="209"/>
      <c r="BG34" s="181">
        <v>38</v>
      </c>
    </row>
    <row r="35" spans="1:59" ht="20.100000000000001" customHeight="1" x14ac:dyDescent="0.25">
      <c r="A35" s="181">
        <f>SUBTOTAL(3,$C$3:C35)</f>
        <v>33</v>
      </c>
      <c r="B35" s="198" t="s">
        <v>1718</v>
      </c>
      <c r="C35" s="199" t="s">
        <v>485</v>
      </c>
      <c r="D35" s="199" t="s">
        <v>34</v>
      </c>
      <c r="E35" s="237">
        <v>33626</v>
      </c>
      <c r="F35" s="184">
        <f t="shared" si="46"/>
        <v>1</v>
      </c>
      <c r="G35" s="214" t="s">
        <v>486</v>
      </c>
      <c r="H35" s="185">
        <v>44326</v>
      </c>
      <c r="I35" s="186" t="s">
        <v>37</v>
      </c>
      <c r="J35" s="199" t="s">
        <v>487</v>
      </c>
      <c r="K35" s="199" t="s">
        <v>187</v>
      </c>
      <c r="L35" s="205" t="s">
        <v>188</v>
      </c>
      <c r="M35" s="205" t="s">
        <v>68</v>
      </c>
      <c r="N35" s="199" t="s">
        <v>41</v>
      </c>
      <c r="O35" s="226" t="s">
        <v>488</v>
      </c>
      <c r="P35" s="226"/>
      <c r="Q35" s="209" t="s">
        <v>489</v>
      </c>
      <c r="R35" s="209" t="s">
        <v>71</v>
      </c>
      <c r="S35" s="203" t="s">
        <v>490</v>
      </c>
      <c r="T35" s="222" t="s">
        <v>74</v>
      </c>
      <c r="U35" s="199" t="s">
        <v>367</v>
      </c>
      <c r="V35" s="226" t="s">
        <v>1152</v>
      </c>
      <c r="W35" s="199" t="s">
        <v>368</v>
      </c>
      <c r="X35" s="209" t="s">
        <v>369</v>
      </c>
      <c r="Y35" s="196" t="s">
        <v>255</v>
      </c>
      <c r="Z35" s="196"/>
      <c r="AA35" s="209" t="s">
        <v>492</v>
      </c>
      <c r="AB35" s="192">
        <v>44494</v>
      </c>
      <c r="AC35" s="192">
        <v>44555</v>
      </c>
      <c r="AD35" s="239" t="s">
        <v>483</v>
      </c>
      <c r="AE35" s="193">
        <f t="shared" ca="1" si="47"/>
        <v>4</v>
      </c>
      <c r="AF35" s="193" t="str">
        <f>VLOOKUP(C35,'[1]T03.2024'!$B$8:$O$58,14,0)</f>
        <v>T01/2022</v>
      </c>
      <c r="AG35" s="193" t="s">
        <v>493</v>
      </c>
      <c r="AH35" s="193" t="s">
        <v>1662</v>
      </c>
      <c r="AI35" s="193"/>
      <c r="AJ35" s="193"/>
      <c r="AK35" s="193"/>
      <c r="AL35" s="193"/>
      <c r="AM35" s="193"/>
      <c r="AN35" s="193"/>
      <c r="AO35" s="193"/>
      <c r="AP35" s="203" t="s">
        <v>491</v>
      </c>
      <c r="AQ35" s="208">
        <v>5682000</v>
      </c>
      <c r="AR35" s="208"/>
      <c r="AS35" s="208"/>
      <c r="AT35" s="209"/>
      <c r="AU35" s="209"/>
      <c r="AV35" s="209"/>
      <c r="AW35" s="209"/>
      <c r="AX35" s="209"/>
      <c r="AY35" s="209"/>
      <c r="AZ35" s="209"/>
      <c r="BA35" s="209"/>
      <c r="BB35" s="209"/>
      <c r="BC35" s="209"/>
      <c r="BD35" s="209"/>
      <c r="BE35" s="307"/>
      <c r="BF35" s="210"/>
      <c r="BG35" s="181">
        <v>39</v>
      </c>
    </row>
    <row r="36" spans="1:59" ht="20.100000000000001" customHeight="1" x14ac:dyDescent="0.25">
      <c r="A36" s="181">
        <f>SUBTOTAL(3,$C$3:C36)</f>
        <v>34</v>
      </c>
      <c r="B36" s="198" t="s">
        <v>1770</v>
      </c>
      <c r="C36" s="199" t="s">
        <v>494</v>
      </c>
      <c r="D36" s="199" t="s">
        <v>34</v>
      </c>
      <c r="E36" s="237">
        <v>21551</v>
      </c>
      <c r="F36" s="184">
        <f t="shared" si="46"/>
        <v>1</v>
      </c>
      <c r="G36" s="214" t="s">
        <v>495</v>
      </c>
      <c r="H36" s="185" t="s">
        <v>80</v>
      </c>
      <c r="I36" s="186" t="s">
        <v>37</v>
      </c>
      <c r="J36" s="199" t="s">
        <v>496</v>
      </c>
      <c r="K36" s="209"/>
      <c r="L36" s="196"/>
      <c r="M36" s="196"/>
      <c r="N36" s="209"/>
      <c r="O36" s="240" t="s">
        <v>497</v>
      </c>
      <c r="P36" s="240"/>
      <c r="Q36" s="209"/>
      <c r="R36" s="209"/>
      <c r="S36" s="203"/>
      <c r="T36" s="236" t="s">
        <v>382</v>
      </c>
      <c r="U36" s="209" t="s">
        <v>382</v>
      </c>
      <c r="V36" s="226" t="s">
        <v>1152</v>
      </c>
      <c r="W36" s="205" t="s">
        <v>310</v>
      </c>
      <c r="X36" s="209" t="s">
        <v>46</v>
      </c>
      <c r="Y36" s="196" t="s">
        <v>128</v>
      </c>
      <c r="Z36" s="196"/>
      <c r="AA36" s="209" t="s">
        <v>445</v>
      </c>
      <c r="AB36" s="192">
        <v>44525</v>
      </c>
      <c r="AC36" s="192">
        <v>44555</v>
      </c>
      <c r="AD36" s="181">
        <v>0</v>
      </c>
      <c r="AE36" s="193">
        <f t="shared" ca="1" si="47"/>
        <v>4</v>
      </c>
      <c r="AF36" s="193"/>
      <c r="AG36" s="193"/>
      <c r="AH36" s="193" t="s">
        <v>1662</v>
      </c>
      <c r="AI36" s="193"/>
      <c r="AJ36" s="193"/>
      <c r="AK36" s="193"/>
      <c r="AL36" s="193"/>
      <c r="AM36" s="193"/>
      <c r="AN36" s="193"/>
      <c r="AO36" s="193"/>
      <c r="AP36" s="203" t="s">
        <v>444</v>
      </c>
      <c r="AQ36" s="208"/>
      <c r="AR36" s="208"/>
      <c r="AS36" s="208"/>
      <c r="AT36" s="190" t="s">
        <v>446</v>
      </c>
      <c r="AU36" s="190"/>
      <c r="AV36" s="190"/>
      <c r="AW36" s="190"/>
      <c r="AX36" s="190"/>
      <c r="AY36" s="190"/>
      <c r="AZ36" s="190"/>
      <c r="BA36" s="190"/>
      <c r="BB36" s="190"/>
      <c r="BC36" s="190"/>
      <c r="BD36" s="190"/>
      <c r="BE36" s="190"/>
      <c r="BF36" s="241"/>
      <c r="BG36" s="181">
        <v>40</v>
      </c>
    </row>
    <row r="37" spans="1:59" ht="20.100000000000001" customHeight="1" x14ac:dyDescent="0.25">
      <c r="A37" s="181">
        <f>SUBTOTAL(3,$C$3:C37)</f>
        <v>35</v>
      </c>
      <c r="B37" s="198" t="s">
        <v>1768</v>
      </c>
      <c r="C37" s="242" t="s">
        <v>511</v>
      </c>
      <c r="D37" s="242" t="s">
        <v>34</v>
      </c>
      <c r="E37" s="243">
        <v>33544</v>
      </c>
      <c r="F37" s="184">
        <f t="shared" si="46"/>
        <v>11</v>
      </c>
      <c r="G37" s="214" t="s">
        <v>512</v>
      </c>
      <c r="H37" s="185" t="s">
        <v>513</v>
      </c>
      <c r="I37" s="186" t="s">
        <v>37</v>
      </c>
      <c r="J37" s="242" t="s">
        <v>514</v>
      </c>
      <c r="K37" s="242" t="s">
        <v>515</v>
      </c>
      <c r="L37" s="246" t="s">
        <v>516</v>
      </c>
      <c r="M37" s="246" t="s">
        <v>248</v>
      </c>
      <c r="N37" s="242" t="s">
        <v>517</v>
      </c>
      <c r="O37" s="244" t="s">
        <v>518</v>
      </c>
      <c r="P37" s="244"/>
      <c r="Q37" s="242" t="s">
        <v>519</v>
      </c>
      <c r="R37" s="242" t="s">
        <v>204</v>
      </c>
      <c r="S37" s="245" t="s">
        <v>520</v>
      </c>
      <c r="T37" s="246" t="s">
        <v>508</v>
      </c>
      <c r="U37" s="242" t="s">
        <v>224</v>
      </c>
      <c r="V37" s="226" t="s">
        <v>1152</v>
      </c>
      <c r="W37" s="205" t="s">
        <v>179</v>
      </c>
      <c r="X37" s="242" t="s">
        <v>168</v>
      </c>
      <c r="Y37" s="196" t="s">
        <v>255</v>
      </c>
      <c r="Z37" s="246"/>
      <c r="AA37" s="242" t="s">
        <v>521</v>
      </c>
      <c r="AB37" s="248">
        <v>44704</v>
      </c>
      <c r="AC37" s="239" t="s">
        <v>522</v>
      </c>
      <c r="AD37" s="192">
        <v>44805</v>
      </c>
      <c r="AE37" s="193">
        <f t="shared" ca="1" si="47"/>
        <v>4</v>
      </c>
      <c r="AF37" s="193" t="str">
        <f>VLOOKUP(C37,'[1]T03.2024'!$B$8:$O$58,14,0)</f>
        <v>T09/2022</v>
      </c>
      <c r="AG37" s="193" t="s">
        <v>523</v>
      </c>
      <c r="AH37" s="193" t="s">
        <v>1662</v>
      </c>
      <c r="AI37" s="193"/>
      <c r="AJ37" s="193"/>
      <c r="AK37" s="193"/>
      <c r="AL37" s="193"/>
      <c r="AM37" s="193"/>
      <c r="AN37" s="193"/>
      <c r="AO37" s="193"/>
      <c r="AP37" s="247">
        <v>7916367294</v>
      </c>
      <c r="AQ37" s="208">
        <v>5682000</v>
      </c>
      <c r="AR37" s="208"/>
      <c r="AS37" s="208"/>
      <c r="AT37" s="209"/>
      <c r="AU37" s="209"/>
      <c r="AV37" s="209"/>
      <c r="AW37" s="209"/>
      <c r="AX37" s="209"/>
      <c r="AY37" s="209"/>
      <c r="AZ37" s="209"/>
      <c r="BA37" s="209"/>
      <c r="BB37" s="209"/>
      <c r="BC37" s="209"/>
      <c r="BD37" s="209"/>
      <c r="BE37" s="209"/>
      <c r="BF37" s="241"/>
      <c r="BG37" s="181">
        <v>42</v>
      </c>
    </row>
    <row r="38" spans="1:59" ht="20.100000000000001" customHeight="1" x14ac:dyDescent="0.25">
      <c r="A38" s="181">
        <f>SUBTOTAL(3,$C$3:C38)</f>
        <v>36</v>
      </c>
      <c r="B38" s="198" t="s">
        <v>1743</v>
      </c>
      <c r="C38" s="209" t="s">
        <v>524</v>
      </c>
      <c r="D38" s="209" t="s">
        <v>34</v>
      </c>
      <c r="E38" s="237">
        <v>34103</v>
      </c>
      <c r="F38" s="184">
        <f t="shared" si="46"/>
        <v>5</v>
      </c>
      <c r="G38" s="214" t="s">
        <v>525</v>
      </c>
      <c r="H38" s="185" t="s">
        <v>526</v>
      </c>
      <c r="I38" s="186" t="s">
        <v>37</v>
      </c>
      <c r="J38" s="209" t="s">
        <v>527</v>
      </c>
      <c r="K38" s="209" t="s">
        <v>528</v>
      </c>
      <c r="L38" s="196" t="s">
        <v>529</v>
      </c>
      <c r="M38" s="196" t="s">
        <v>530</v>
      </c>
      <c r="N38" s="209" t="s">
        <v>531</v>
      </c>
      <c r="O38" s="226" t="s">
        <v>532</v>
      </c>
      <c r="P38" s="226"/>
      <c r="Q38" s="209" t="s">
        <v>533</v>
      </c>
      <c r="R38" s="209" t="s">
        <v>534</v>
      </c>
      <c r="S38" s="203" t="s">
        <v>535</v>
      </c>
      <c r="T38" s="236" t="s">
        <v>536</v>
      </c>
      <c r="U38" s="209" t="s">
        <v>224</v>
      </c>
      <c r="V38" s="226" t="s">
        <v>1152</v>
      </c>
      <c r="W38" s="205" t="s">
        <v>179</v>
      </c>
      <c r="X38" s="209" t="s">
        <v>168</v>
      </c>
      <c r="Y38" s="196" t="s">
        <v>255</v>
      </c>
      <c r="Z38" s="196"/>
      <c r="AA38" s="209" t="s">
        <v>537</v>
      </c>
      <c r="AB38" s="192">
        <v>44705</v>
      </c>
      <c r="AC38" s="239" t="s">
        <v>538</v>
      </c>
      <c r="AD38" s="192">
        <v>44766</v>
      </c>
      <c r="AE38" s="193">
        <f t="shared" ca="1" si="47"/>
        <v>4</v>
      </c>
      <c r="AF38" s="193" t="str">
        <f>VLOOKUP(C38,'[1]T03.2024'!$B$8:$O$58,14,0)</f>
        <v>T08/2022</v>
      </c>
      <c r="AG38" s="193" t="s">
        <v>539</v>
      </c>
      <c r="AH38" s="193" t="s">
        <v>1662</v>
      </c>
      <c r="AI38" s="193"/>
      <c r="AJ38" s="193"/>
      <c r="AK38" s="193"/>
      <c r="AL38" s="193"/>
      <c r="AM38" s="193"/>
      <c r="AN38" s="193"/>
      <c r="AO38" s="193"/>
      <c r="AP38" s="203">
        <v>7424616908</v>
      </c>
      <c r="AQ38" s="208">
        <v>5682000</v>
      </c>
      <c r="AR38" s="208"/>
      <c r="AS38" s="208"/>
      <c r="AT38" s="209"/>
      <c r="AU38" s="209"/>
      <c r="AV38" s="209"/>
      <c r="AW38" s="209"/>
      <c r="AX38" s="209"/>
      <c r="AY38" s="209"/>
      <c r="AZ38" s="209"/>
      <c r="BA38" s="209"/>
      <c r="BB38" s="209"/>
      <c r="BC38" s="209"/>
      <c r="BD38" s="209"/>
      <c r="BE38" s="209"/>
      <c r="BF38" s="209"/>
      <c r="BG38" s="181">
        <v>43</v>
      </c>
    </row>
    <row r="39" spans="1:59" ht="20.100000000000001" customHeight="1" x14ac:dyDescent="0.25">
      <c r="A39" s="181">
        <f>SUBTOTAL(3,$C$3:C39)</f>
        <v>37</v>
      </c>
      <c r="B39" s="198" t="s">
        <v>1738</v>
      </c>
      <c r="C39" s="199" t="s">
        <v>545</v>
      </c>
      <c r="D39" s="205" t="s">
        <v>34</v>
      </c>
      <c r="E39" s="237">
        <v>21186</v>
      </c>
      <c r="F39" s="184">
        <f t="shared" si="46"/>
        <v>1</v>
      </c>
      <c r="G39" s="214" t="s">
        <v>546</v>
      </c>
      <c r="H39" s="185">
        <v>44312</v>
      </c>
      <c r="I39" s="186" t="s">
        <v>37</v>
      </c>
      <c r="J39" s="199" t="s">
        <v>547</v>
      </c>
      <c r="K39" s="199" t="s">
        <v>548</v>
      </c>
      <c r="L39" s="196">
        <v>14</v>
      </c>
      <c r="M39" s="196">
        <v>3</v>
      </c>
      <c r="N39" s="199" t="s">
        <v>41</v>
      </c>
      <c r="O39" s="226" t="s">
        <v>549</v>
      </c>
      <c r="P39" s="226"/>
      <c r="Q39" s="209"/>
      <c r="R39" s="199" t="s">
        <v>71</v>
      </c>
      <c r="S39" s="203" t="s">
        <v>550</v>
      </c>
      <c r="T39" s="236" t="s">
        <v>382</v>
      </c>
      <c r="U39" s="199" t="s">
        <v>382</v>
      </c>
      <c r="V39" s="226" t="s">
        <v>1152</v>
      </c>
      <c r="W39" s="205" t="s">
        <v>310</v>
      </c>
      <c r="X39" s="209" t="s">
        <v>311</v>
      </c>
      <c r="Y39" s="196" t="s">
        <v>128</v>
      </c>
      <c r="Z39" s="196"/>
      <c r="AA39" s="209"/>
      <c r="AB39" s="192">
        <v>44767</v>
      </c>
      <c r="AC39" s="192">
        <v>44767</v>
      </c>
      <c r="AD39" s="192">
        <v>44805</v>
      </c>
      <c r="AE39" s="193">
        <f t="shared" ca="1" si="47"/>
        <v>4</v>
      </c>
      <c r="AF39" s="193" t="str">
        <f>VLOOKUP(C39,'[1]T03.2024'!$B$8:$O$58,14,0)</f>
        <v>T09/2022</v>
      </c>
      <c r="AG39" s="193" t="s">
        <v>551</v>
      </c>
      <c r="AH39" s="193" t="s">
        <v>1662</v>
      </c>
      <c r="AI39" s="193"/>
      <c r="AJ39" s="193"/>
      <c r="AK39" s="193"/>
      <c r="AL39" s="193"/>
      <c r="AM39" s="193"/>
      <c r="AN39" s="193"/>
      <c r="AO39" s="193"/>
      <c r="AP39" s="203">
        <v>8622069412</v>
      </c>
      <c r="AQ39" s="208">
        <v>5682000</v>
      </c>
      <c r="AR39" s="208"/>
      <c r="AS39" s="208"/>
      <c r="AT39" s="209"/>
      <c r="AU39" s="209"/>
      <c r="AV39" s="209"/>
      <c r="AW39" s="209"/>
      <c r="AX39" s="209"/>
      <c r="AY39" s="209"/>
      <c r="AZ39" s="209"/>
      <c r="BA39" s="209"/>
      <c r="BB39" s="209"/>
      <c r="BC39" s="209"/>
      <c r="BD39" s="209"/>
      <c r="BE39" s="307"/>
      <c r="BF39" s="210"/>
      <c r="BG39" s="181">
        <v>46</v>
      </c>
    </row>
    <row r="40" spans="1:59" ht="20.100000000000001" customHeight="1" x14ac:dyDescent="0.25">
      <c r="A40" s="181">
        <f>SUBTOTAL(3,$C$3:C40)</f>
        <v>38</v>
      </c>
      <c r="B40" s="221" t="s">
        <v>1742</v>
      </c>
      <c r="C40" s="242" t="s">
        <v>564</v>
      </c>
      <c r="D40" s="242" t="s">
        <v>34</v>
      </c>
      <c r="E40" s="243">
        <v>26172</v>
      </c>
      <c r="F40" s="184">
        <f t="shared" si="46"/>
        <v>8</v>
      </c>
      <c r="G40" s="249" t="s">
        <v>565</v>
      </c>
      <c r="H40" s="248">
        <v>44345</v>
      </c>
      <c r="I40" s="186" t="s">
        <v>37</v>
      </c>
      <c r="J40" s="242" t="s">
        <v>566</v>
      </c>
      <c r="K40" s="242"/>
      <c r="L40" s="246"/>
      <c r="M40" s="196"/>
      <c r="N40" s="209"/>
      <c r="O40" s="250" t="s">
        <v>567</v>
      </c>
      <c r="P40" s="250"/>
      <c r="Q40" s="209" t="s">
        <v>568</v>
      </c>
      <c r="R40" s="244" t="s">
        <v>71</v>
      </c>
      <c r="S40" s="251" t="s">
        <v>569</v>
      </c>
      <c r="T40" s="246" t="s">
        <v>285</v>
      </c>
      <c r="U40" s="242" t="s">
        <v>224</v>
      </c>
      <c r="V40" s="226" t="s">
        <v>1152</v>
      </c>
      <c r="W40" s="205" t="s">
        <v>179</v>
      </c>
      <c r="X40" s="242" t="s">
        <v>286</v>
      </c>
      <c r="Y40" s="252" t="s">
        <v>105</v>
      </c>
      <c r="Z40" s="252"/>
      <c r="AA40" s="242" t="s">
        <v>570</v>
      </c>
      <c r="AB40" s="248">
        <v>45049</v>
      </c>
      <c r="AC40" s="248">
        <v>45110</v>
      </c>
      <c r="AD40" s="248">
        <v>45110</v>
      </c>
      <c r="AE40" s="193">
        <f t="shared" ca="1" si="47"/>
        <v>3</v>
      </c>
      <c r="AF40" s="193" t="str">
        <f>VLOOKUP(C40,'[1]T03.2024'!$B$8:$O$58,14,0)</f>
        <v>T07/2023</v>
      </c>
      <c r="AG40" s="193" t="s">
        <v>571</v>
      </c>
      <c r="AH40" s="193" t="s">
        <v>1662</v>
      </c>
      <c r="AI40" s="193"/>
      <c r="AJ40" s="193"/>
      <c r="AK40" s="193"/>
      <c r="AL40" s="193"/>
      <c r="AM40" s="193"/>
      <c r="AN40" s="193"/>
      <c r="AO40" s="193"/>
      <c r="AP40" s="247">
        <v>7931911271</v>
      </c>
      <c r="AQ40" s="208">
        <v>5682000</v>
      </c>
      <c r="AR40" s="208"/>
      <c r="AS40" s="208"/>
      <c r="AT40" s="209"/>
      <c r="AU40" s="209"/>
      <c r="AV40" s="209"/>
      <c r="AW40" s="209"/>
      <c r="AX40" s="209"/>
      <c r="AY40" s="209"/>
      <c r="AZ40" s="209"/>
      <c r="BA40" s="209"/>
      <c r="BB40" s="209"/>
      <c r="BC40" s="209"/>
      <c r="BD40" s="209"/>
      <c r="BE40" s="209"/>
      <c r="BF40" s="241"/>
      <c r="BG40" s="181">
        <v>50</v>
      </c>
    </row>
    <row r="41" spans="1:59" ht="20.100000000000001" customHeight="1" x14ac:dyDescent="0.25">
      <c r="A41" s="181">
        <f>SUBTOTAL(3,$C$3:C41)</f>
        <v>39</v>
      </c>
      <c r="B41" s="198" t="s">
        <v>1754</v>
      </c>
      <c r="C41" s="242" t="s">
        <v>572</v>
      </c>
      <c r="D41" s="242" t="s">
        <v>34</v>
      </c>
      <c r="E41" s="243">
        <v>34579</v>
      </c>
      <c r="F41" s="184">
        <f t="shared" si="46"/>
        <v>9</v>
      </c>
      <c r="G41" s="249" t="s">
        <v>573</v>
      </c>
      <c r="H41" s="248">
        <v>44421</v>
      </c>
      <c r="I41" s="186" t="s">
        <v>37</v>
      </c>
      <c r="J41" s="209" t="s">
        <v>1813</v>
      </c>
      <c r="K41" s="242" t="s">
        <v>574</v>
      </c>
      <c r="L41" s="246" t="s">
        <v>557</v>
      </c>
      <c r="M41" s="196" t="s">
        <v>575</v>
      </c>
      <c r="N41" s="209" t="s">
        <v>558</v>
      </c>
      <c r="O41" s="253" t="s">
        <v>576</v>
      </c>
      <c r="P41" s="253"/>
      <c r="Q41" s="209" t="s">
        <v>572</v>
      </c>
      <c r="R41" s="244" t="s">
        <v>71</v>
      </c>
      <c r="S41" s="245" t="s">
        <v>577</v>
      </c>
      <c r="T41" s="246" t="s">
        <v>74</v>
      </c>
      <c r="U41" s="242" t="s">
        <v>224</v>
      </c>
      <c r="V41" s="226" t="s">
        <v>1152</v>
      </c>
      <c r="W41" s="205" t="s">
        <v>179</v>
      </c>
      <c r="X41" s="242" t="s">
        <v>286</v>
      </c>
      <c r="Y41" s="246" t="s">
        <v>74</v>
      </c>
      <c r="Z41" s="246"/>
      <c r="AA41" s="254" t="s">
        <v>578</v>
      </c>
      <c r="AB41" s="248">
        <v>45063</v>
      </c>
      <c r="AC41" s="248">
        <v>45124</v>
      </c>
      <c r="AD41" s="248">
        <v>45124</v>
      </c>
      <c r="AE41" s="193">
        <f t="shared" ca="1" si="47"/>
        <v>3</v>
      </c>
      <c r="AF41" s="193" t="str">
        <f>VLOOKUP(C41,'[1]T03.2024'!$B$8:$O$58,14,0)</f>
        <v>T08/2023</v>
      </c>
      <c r="AG41" s="193" t="s">
        <v>579</v>
      </c>
      <c r="AH41" s="193" t="s">
        <v>1662</v>
      </c>
      <c r="AI41" s="193"/>
      <c r="AJ41" s="193"/>
      <c r="AK41" s="193"/>
      <c r="AL41" s="193"/>
      <c r="AM41" s="193"/>
      <c r="AN41" s="193"/>
      <c r="AO41" s="193"/>
      <c r="AP41" s="247">
        <v>9121673734</v>
      </c>
      <c r="AQ41" s="208">
        <v>5682000</v>
      </c>
      <c r="AR41" s="208"/>
      <c r="AS41" s="208"/>
      <c r="AT41" s="209"/>
      <c r="AU41" s="209"/>
      <c r="AV41" s="209"/>
      <c r="AW41" s="209"/>
      <c r="AX41" s="209"/>
      <c r="AY41" s="209"/>
      <c r="AZ41" s="209"/>
      <c r="BA41" s="209"/>
      <c r="BB41" s="209"/>
      <c r="BC41" s="209"/>
      <c r="BD41" s="209"/>
      <c r="BE41" s="209"/>
      <c r="BF41" s="241"/>
      <c r="BG41" s="181">
        <v>51</v>
      </c>
    </row>
    <row r="42" spans="1:59" ht="20.100000000000001" customHeight="1" x14ac:dyDescent="0.25">
      <c r="A42" s="181">
        <f>SUBTOTAL(3,$C$3:C42)</f>
        <v>40</v>
      </c>
      <c r="B42" s="198" t="s">
        <v>1739</v>
      </c>
      <c r="C42" s="242" t="s">
        <v>580</v>
      </c>
      <c r="D42" s="242" t="s">
        <v>34</v>
      </c>
      <c r="E42" s="237">
        <v>29085</v>
      </c>
      <c r="F42" s="184">
        <f t="shared" si="46"/>
        <v>8</v>
      </c>
      <c r="G42" s="255" t="s">
        <v>581</v>
      </c>
      <c r="H42" s="191">
        <v>45066</v>
      </c>
      <c r="I42" s="186" t="s">
        <v>37</v>
      </c>
      <c r="J42" s="226" t="s">
        <v>1807</v>
      </c>
      <c r="K42" s="256" t="s">
        <v>582</v>
      </c>
      <c r="L42" s="196" t="s">
        <v>582</v>
      </c>
      <c r="M42" s="196" t="s">
        <v>582</v>
      </c>
      <c r="N42" s="209" t="s">
        <v>582</v>
      </c>
      <c r="O42" s="253" t="s">
        <v>583</v>
      </c>
      <c r="P42" s="253"/>
      <c r="Q42" s="209"/>
      <c r="R42" s="226"/>
      <c r="S42" s="193"/>
      <c r="T42" s="196" t="s">
        <v>584</v>
      </c>
      <c r="U42" s="226" t="s">
        <v>382</v>
      </c>
      <c r="V42" s="226" t="s">
        <v>1152</v>
      </c>
      <c r="W42" s="205" t="s">
        <v>89</v>
      </c>
      <c r="X42" s="199" t="s">
        <v>1645</v>
      </c>
      <c r="Y42" s="196" t="s">
        <v>585</v>
      </c>
      <c r="Z42" s="196"/>
      <c r="AA42" s="223" t="s">
        <v>586</v>
      </c>
      <c r="AB42" s="192">
        <v>45068</v>
      </c>
      <c r="AC42" s="192">
        <v>45129</v>
      </c>
      <c r="AD42" s="192">
        <v>45870</v>
      </c>
      <c r="AE42" s="193">
        <f t="shared" ca="1" si="47"/>
        <v>3</v>
      </c>
      <c r="AF42" s="193" t="s">
        <v>1592</v>
      </c>
      <c r="AG42" s="193" t="s">
        <v>1845</v>
      </c>
      <c r="AH42" s="193" t="s">
        <v>1662</v>
      </c>
      <c r="AI42" s="193"/>
      <c r="AJ42" s="193"/>
      <c r="AK42" s="193"/>
      <c r="AL42" s="193"/>
      <c r="AM42" s="193"/>
      <c r="AN42" s="193"/>
      <c r="AO42" s="193"/>
      <c r="AP42" s="193">
        <v>6505002516</v>
      </c>
      <c r="AQ42" s="208">
        <v>5682000</v>
      </c>
      <c r="AR42" s="208"/>
      <c r="AS42" s="208"/>
      <c r="AT42" s="190"/>
      <c r="AU42" s="190"/>
      <c r="AV42" s="190"/>
      <c r="AW42" s="190"/>
      <c r="AX42" s="190"/>
      <c r="AY42" s="190"/>
      <c r="AZ42" s="190"/>
      <c r="BA42" s="190"/>
      <c r="BB42" s="190"/>
      <c r="BC42" s="190"/>
      <c r="BD42" s="190"/>
      <c r="BE42" s="190"/>
      <c r="BF42" s="210"/>
      <c r="BG42" s="181">
        <v>1</v>
      </c>
    </row>
    <row r="43" spans="1:59" ht="20.100000000000001" customHeight="1" x14ac:dyDescent="0.25">
      <c r="A43" s="181">
        <f>SUBTOTAL(3,$C$3:C43)</f>
        <v>41</v>
      </c>
      <c r="B43" s="198" t="s">
        <v>1717</v>
      </c>
      <c r="C43" s="242" t="s">
        <v>369</v>
      </c>
      <c r="D43" s="242" t="s">
        <v>34</v>
      </c>
      <c r="E43" s="237">
        <v>32375</v>
      </c>
      <c r="F43" s="184">
        <f t="shared" si="46"/>
        <v>8</v>
      </c>
      <c r="G43" s="255" t="s">
        <v>600</v>
      </c>
      <c r="H43" s="191">
        <v>44784</v>
      </c>
      <c r="I43" s="186" t="s">
        <v>37</v>
      </c>
      <c r="J43" s="199" t="s">
        <v>601</v>
      </c>
      <c r="K43" s="199" t="s">
        <v>602</v>
      </c>
      <c r="L43" s="205" t="s">
        <v>603</v>
      </c>
      <c r="M43" s="205" t="s">
        <v>52</v>
      </c>
      <c r="N43" s="199" t="s">
        <v>41</v>
      </c>
      <c r="O43" s="201" t="s">
        <v>604</v>
      </c>
      <c r="P43" s="201"/>
      <c r="Q43" s="199" t="s">
        <v>605</v>
      </c>
      <c r="R43" s="199" t="s">
        <v>71</v>
      </c>
      <c r="S43" s="211" t="s">
        <v>606</v>
      </c>
      <c r="T43" s="222" t="s">
        <v>74</v>
      </c>
      <c r="U43" s="199" t="s">
        <v>608</v>
      </c>
      <c r="V43" s="199" t="s">
        <v>1679</v>
      </c>
      <c r="W43" s="205" t="s">
        <v>368</v>
      </c>
      <c r="X43" s="199" t="s">
        <v>62</v>
      </c>
      <c r="Y43" s="205" t="s">
        <v>609</v>
      </c>
      <c r="Z43" s="205"/>
      <c r="AA43" s="199" t="s">
        <v>610</v>
      </c>
      <c r="AB43" s="192">
        <v>45100</v>
      </c>
      <c r="AC43" s="192">
        <v>45100</v>
      </c>
      <c r="AD43" s="192">
        <v>45100</v>
      </c>
      <c r="AE43" s="193">
        <f t="shared" ca="1" si="47"/>
        <v>3</v>
      </c>
      <c r="AF43" s="193" t="str">
        <f>VLOOKUP(C43,'[1]T03.2024'!$B$8:$O$58,14,0)</f>
        <v>T07/2023</v>
      </c>
      <c r="AG43" s="193" t="s">
        <v>611</v>
      </c>
      <c r="AH43" s="193" t="s">
        <v>1662</v>
      </c>
      <c r="AI43" s="193"/>
      <c r="AJ43" s="193"/>
      <c r="AK43" s="193"/>
      <c r="AL43" s="193"/>
      <c r="AM43" s="193"/>
      <c r="AN43" s="193"/>
      <c r="AO43" s="193"/>
      <c r="AP43" s="211" t="s">
        <v>607</v>
      </c>
      <c r="AQ43" s="208">
        <v>5682000</v>
      </c>
      <c r="AR43" s="208"/>
      <c r="AS43" s="208"/>
      <c r="AT43" s="209"/>
      <c r="AU43" s="209"/>
      <c r="AV43" s="209"/>
      <c r="AW43" s="209"/>
      <c r="AX43" s="209"/>
      <c r="AY43" s="209"/>
      <c r="AZ43" s="209"/>
      <c r="BA43" s="209"/>
      <c r="BB43" s="209"/>
      <c r="BC43" s="209"/>
      <c r="BD43" s="209"/>
      <c r="BE43" s="209"/>
      <c r="BF43" s="210"/>
      <c r="BG43" s="181">
        <v>55</v>
      </c>
    </row>
    <row r="44" spans="1:59" ht="20.100000000000001" customHeight="1" x14ac:dyDescent="0.25">
      <c r="A44" s="181">
        <f>SUBTOTAL(3,$C$3:C44)</f>
        <v>42</v>
      </c>
      <c r="B44" s="198" t="s">
        <v>1765</v>
      </c>
      <c r="C44" s="242" t="s">
        <v>612</v>
      </c>
      <c r="D44" s="242" t="s">
        <v>34</v>
      </c>
      <c r="E44" s="237">
        <v>34293</v>
      </c>
      <c r="F44" s="184">
        <f t="shared" si="46"/>
        <v>11</v>
      </c>
      <c r="G44" s="255" t="s">
        <v>613</v>
      </c>
      <c r="H44" s="191">
        <v>44827</v>
      </c>
      <c r="I44" s="226" t="s">
        <v>37</v>
      </c>
      <c r="J44" s="226" t="s">
        <v>614</v>
      </c>
      <c r="K44" s="256" t="s">
        <v>615</v>
      </c>
      <c r="L44" s="196" t="s">
        <v>616</v>
      </c>
      <c r="M44" s="196" t="s">
        <v>617</v>
      </c>
      <c r="N44" s="209" t="s">
        <v>618</v>
      </c>
      <c r="O44" s="253" t="s">
        <v>619</v>
      </c>
      <c r="P44" s="253"/>
      <c r="Q44" s="209" t="s">
        <v>620</v>
      </c>
      <c r="R44" s="226" t="s">
        <v>71</v>
      </c>
      <c r="S44" s="257" t="s">
        <v>621</v>
      </c>
      <c r="T44" s="196" t="s">
        <v>285</v>
      </c>
      <c r="U44" s="226" t="s">
        <v>224</v>
      </c>
      <c r="V44" s="226" t="s">
        <v>1152</v>
      </c>
      <c r="W44" s="205" t="s">
        <v>179</v>
      </c>
      <c r="X44" s="196" t="s">
        <v>625</v>
      </c>
      <c r="Y44" s="196" t="s">
        <v>585</v>
      </c>
      <c r="Z44" s="196"/>
      <c r="AA44" s="209" t="s">
        <v>623</v>
      </c>
      <c r="AB44" s="192">
        <v>45104</v>
      </c>
      <c r="AC44" s="192">
        <v>45165</v>
      </c>
      <c r="AD44" s="192">
        <v>45165</v>
      </c>
      <c r="AE44" s="193">
        <f t="shared" ca="1" si="47"/>
        <v>2</v>
      </c>
      <c r="AF44" s="193" t="str">
        <f>VLOOKUP(C44,'[1]T03.2024'!$B$8:$O$58,14,0)</f>
        <v>T09/2023</v>
      </c>
      <c r="AG44" s="193" t="s">
        <v>624</v>
      </c>
      <c r="AH44" s="193" t="s">
        <v>1662</v>
      </c>
      <c r="AI44" s="193"/>
      <c r="AJ44" s="193"/>
      <c r="AK44" s="193"/>
      <c r="AL44" s="193"/>
      <c r="AM44" s="193"/>
      <c r="AN44" s="193"/>
      <c r="AO44" s="193"/>
      <c r="AP44" s="193" t="s">
        <v>622</v>
      </c>
      <c r="AQ44" s="208">
        <v>5682000</v>
      </c>
      <c r="AR44" s="208"/>
      <c r="AS44" s="208"/>
      <c r="AT44" s="209"/>
      <c r="AU44" s="209"/>
      <c r="AV44" s="209"/>
      <c r="AW44" s="209"/>
      <c r="AX44" s="209"/>
      <c r="AY44" s="209"/>
      <c r="AZ44" s="209"/>
      <c r="BA44" s="209"/>
      <c r="BB44" s="209"/>
      <c r="BC44" s="209"/>
      <c r="BD44" s="209"/>
      <c r="BE44" s="209"/>
      <c r="BF44" s="210"/>
      <c r="BG44" s="181">
        <v>57</v>
      </c>
    </row>
    <row r="45" spans="1:59" ht="20.100000000000001" customHeight="1" x14ac:dyDescent="0.25">
      <c r="A45" s="181">
        <f>SUBTOTAL(3,$C$3:C45)</f>
        <v>43</v>
      </c>
      <c r="B45" s="198" t="s">
        <v>1293</v>
      </c>
      <c r="C45" s="242" t="s">
        <v>625</v>
      </c>
      <c r="D45" s="242" t="s">
        <v>34</v>
      </c>
      <c r="E45" s="237">
        <v>30369</v>
      </c>
      <c r="F45" s="184">
        <f t="shared" si="46"/>
        <v>2</v>
      </c>
      <c r="G45" s="255" t="s">
        <v>626</v>
      </c>
      <c r="H45" s="191">
        <v>44820</v>
      </c>
      <c r="I45" s="226" t="s">
        <v>37</v>
      </c>
      <c r="J45" s="209" t="s">
        <v>627</v>
      </c>
      <c r="K45" s="209"/>
      <c r="L45" s="196"/>
      <c r="M45" s="196"/>
      <c r="N45" s="209"/>
      <c r="O45" s="240" t="s">
        <v>628</v>
      </c>
      <c r="P45" s="240"/>
      <c r="Q45" s="209"/>
      <c r="R45" s="209"/>
      <c r="S45" s="203"/>
      <c r="T45" s="222" t="s">
        <v>74</v>
      </c>
      <c r="U45" s="209" t="s">
        <v>178</v>
      </c>
      <c r="V45" s="209" t="s">
        <v>1678</v>
      </c>
      <c r="W45" s="205" t="s">
        <v>179</v>
      </c>
      <c r="X45" s="209" t="s">
        <v>62</v>
      </c>
      <c r="Y45" s="196" t="s">
        <v>255</v>
      </c>
      <c r="Z45" s="196"/>
      <c r="AA45" s="223" t="s">
        <v>629</v>
      </c>
      <c r="AB45" s="192">
        <v>45152</v>
      </c>
      <c r="AC45" s="192">
        <v>45213</v>
      </c>
      <c r="AD45" s="192">
        <v>45352</v>
      </c>
      <c r="AE45" s="193">
        <f t="shared" ca="1" si="47"/>
        <v>2</v>
      </c>
      <c r="AF45" s="193" t="str">
        <f>VLOOKUP(C45,'[1]T03.2024'!$B$8:$O$58,14,0)</f>
        <v>T03/2024</v>
      </c>
      <c r="AG45" s="193" t="s">
        <v>630</v>
      </c>
      <c r="AH45" s="193" t="s">
        <v>1662</v>
      </c>
      <c r="AI45" s="193"/>
      <c r="AJ45" s="193"/>
      <c r="AK45" s="193"/>
      <c r="AL45" s="193"/>
      <c r="AM45" s="193"/>
      <c r="AN45" s="193"/>
      <c r="AO45" s="193"/>
      <c r="AP45" s="203" t="s">
        <v>1490</v>
      </c>
      <c r="AQ45" s="208">
        <v>5682000</v>
      </c>
      <c r="AR45" s="208"/>
      <c r="AS45" s="208"/>
      <c r="AT45" s="209"/>
      <c r="AU45" s="209"/>
      <c r="AV45" s="209"/>
      <c r="AW45" s="209"/>
      <c r="AX45" s="209"/>
      <c r="AY45" s="209"/>
      <c r="AZ45" s="209"/>
      <c r="BA45" s="209"/>
      <c r="BB45" s="209"/>
      <c r="BC45" s="209"/>
      <c r="BD45" s="209"/>
      <c r="BE45" s="209"/>
      <c r="BF45" s="210"/>
      <c r="BG45" s="181">
        <v>58</v>
      </c>
    </row>
    <row r="46" spans="1:59" ht="20.100000000000001" customHeight="1" x14ac:dyDescent="0.25">
      <c r="A46" s="181">
        <f>SUBTOTAL(3,$C$3:C46)</f>
        <v>44</v>
      </c>
      <c r="B46" s="198" t="s">
        <v>1752</v>
      </c>
      <c r="C46" s="242" t="s">
        <v>642</v>
      </c>
      <c r="D46" s="242" t="s">
        <v>34</v>
      </c>
      <c r="E46" s="237">
        <v>24838</v>
      </c>
      <c r="F46" s="184">
        <f t="shared" si="46"/>
        <v>1</v>
      </c>
      <c r="G46" s="255" t="s">
        <v>643</v>
      </c>
      <c r="H46" s="191">
        <v>44417</v>
      </c>
      <c r="I46" s="226" t="s">
        <v>37</v>
      </c>
      <c r="J46" s="209" t="s">
        <v>644</v>
      </c>
      <c r="K46" s="209"/>
      <c r="L46" s="196"/>
      <c r="M46" s="196"/>
      <c r="N46" s="209"/>
      <c r="O46" s="240" t="s">
        <v>645</v>
      </c>
      <c r="P46" s="240"/>
      <c r="Q46" s="209"/>
      <c r="R46" s="209"/>
      <c r="S46" s="203"/>
      <c r="T46" s="236" t="s">
        <v>127</v>
      </c>
      <c r="U46" s="209" t="s">
        <v>127</v>
      </c>
      <c r="V46" s="226" t="s">
        <v>1152</v>
      </c>
      <c r="W46" s="205" t="s">
        <v>89</v>
      </c>
      <c r="X46" s="209" t="s">
        <v>646</v>
      </c>
      <c r="Y46" s="196" t="s">
        <v>128</v>
      </c>
      <c r="Z46" s="196"/>
      <c r="AA46" s="209"/>
      <c r="AB46" s="192">
        <v>45153</v>
      </c>
      <c r="AC46" s="192">
        <v>45214</v>
      </c>
      <c r="AD46" s="192">
        <v>45383</v>
      </c>
      <c r="AE46" s="193">
        <f t="shared" ca="1" si="47"/>
        <v>2</v>
      </c>
      <c r="AF46" s="193" t="s">
        <v>647</v>
      </c>
      <c r="AG46" s="193" t="s">
        <v>648</v>
      </c>
      <c r="AH46" s="193" t="s">
        <v>1662</v>
      </c>
      <c r="AI46" s="193"/>
      <c r="AJ46" s="193"/>
      <c r="AK46" s="193"/>
      <c r="AL46" s="193"/>
      <c r="AM46" s="193"/>
      <c r="AN46" s="193"/>
      <c r="AO46" s="193"/>
      <c r="AP46" s="203">
        <v>8622483128</v>
      </c>
      <c r="AQ46" s="208">
        <v>5682000</v>
      </c>
      <c r="AR46" s="208"/>
      <c r="AS46" s="208"/>
      <c r="AT46" s="209"/>
      <c r="AU46" s="209"/>
      <c r="AV46" s="209"/>
      <c r="AW46" s="209"/>
      <c r="AX46" s="209"/>
      <c r="AY46" s="209"/>
      <c r="AZ46" s="209"/>
      <c r="BA46" s="209"/>
      <c r="BB46" s="209"/>
      <c r="BC46" s="209"/>
      <c r="BD46" s="209"/>
      <c r="BE46" s="209"/>
      <c r="BF46" s="210"/>
      <c r="BG46" s="181">
        <v>61</v>
      </c>
    </row>
    <row r="47" spans="1:59" ht="20.100000000000001" customHeight="1" x14ac:dyDescent="0.25">
      <c r="A47" s="181">
        <f>SUBTOTAL(3,$C$3:C47)</f>
        <v>45</v>
      </c>
      <c r="B47" s="198" t="s">
        <v>1231</v>
      </c>
      <c r="C47" s="242" t="s">
        <v>649</v>
      </c>
      <c r="D47" s="242" t="s">
        <v>34</v>
      </c>
      <c r="E47" s="237">
        <v>31027</v>
      </c>
      <c r="F47" s="184">
        <f t="shared" si="46"/>
        <v>12</v>
      </c>
      <c r="G47" s="255" t="s">
        <v>650</v>
      </c>
      <c r="H47" s="191">
        <v>44421</v>
      </c>
      <c r="I47" s="226" t="s">
        <v>37</v>
      </c>
      <c r="J47" s="209" t="s">
        <v>651</v>
      </c>
      <c r="K47" s="209"/>
      <c r="L47" s="196"/>
      <c r="M47" s="196"/>
      <c r="N47" s="209"/>
      <c r="O47" s="240" t="s">
        <v>652</v>
      </c>
      <c r="P47" s="240"/>
      <c r="Q47" s="209"/>
      <c r="R47" s="209"/>
      <c r="S47" s="203"/>
      <c r="T47" s="236" t="s">
        <v>268</v>
      </c>
      <c r="U47" s="226" t="s">
        <v>238</v>
      </c>
      <c r="V47" s="226" t="s">
        <v>1152</v>
      </c>
      <c r="W47" s="205" t="s">
        <v>179</v>
      </c>
      <c r="X47" s="209" t="s">
        <v>239</v>
      </c>
      <c r="Y47" s="196" t="s">
        <v>255</v>
      </c>
      <c r="Z47" s="196"/>
      <c r="AA47" s="209"/>
      <c r="AB47" s="192">
        <v>45200</v>
      </c>
      <c r="AC47" s="192">
        <v>45231</v>
      </c>
      <c r="AD47" s="192">
        <v>45231</v>
      </c>
      <c r="AE47" s="193">
        <f t="shared" ca="1" si="47"/>
        <v>2</v>
      </c>
      <c r="AF47" s="193" t="str">
        <f>VLOOKUP(C47,'[1]T03.2024'!$B$8:$O$58,14,0)</f>
        <v>T11/2023</v>
      </c>
      <c r="AG47" s="193" t="s">
        <v>653</v>
      </c>
      <c r="AH47" s="193" t="s">
        <v>1662</v>
      </c>
      <c r="AI47" s="193"/>
      <c r="AJ47" s="193"/>
      <c r="AK47" s="193"/>
      <c r="AL47" s="193"/>
      <c r="AM47" s="193"/>
      <c r="AN47" s="193"/>
      <c r="AO47" s="193"/>
      <c r="AP47" s="203">
        <v>8621811812</v>
      </c>
      <c r="AQ47" s="208">
        <v>5682000</v>
      </c>
      <c r="AR47" s="208"/>
      <c r="AS47" s="208"/>
      <c r="AT47" s="209"/>
      <c r="AU47" s="209"/>
      <c r="AV47" s="209"/>
      <c r="AW47" s="209"/>
      <c r="AX47" s="209"/>
      <c r="AY47" s="209"/>
      <c r="AZ47" s="209"/>
      <c r="BA47" s="209"/>
      <c r="BB47" s="209"/>
      <c r="BC47" s="209"/>
      <c r="BD47" s="209"/>
      <c r="BE47" s="209"/>
      <c r="BF47" s="210"/>
      <c r="BG47" s="181">
        <v>63</v>
      </c>
    </row>
    <row r="48" spans="1:59" ht="20.100000000000001" customHeight="1" x14ac:dyDescent="0.25">
      <c r="A48" s="181">
        <f>SUBTOTAL(3,$C$3:C48)</f>
        <v>46</v>
      </c>
      <c r="B48" s="198" t="s">
        <v>1716</v>
      </c>
      <c r="C48" s="242" t="s">
        <v>101</v>
      </c>
      <c r="D48" s="242" t="s">
        <v>78</v>
      </c>
      <c r="E48" s="237">
        <v>31999</v>
      </c>
      <c r="F48" s="184">
        <f t="shared" si="46"/>
        <v>8</v>
      </c>
      <c r="G48" s="255" t="s">
        <v>670</v>
      </c>
      <c r="H48" s="191">
        <v>44937</v>
      </c>
      <c r="I48" s="226" t="s">
        <v>37</v>
      </c>
      <c r="J48" s="256" t="s">
        <v>671</v>
      </c>
      <c r="K48" s="256" t="s">
        <v>672</v>
      </c>
      <c r="L48" s="196"/>
      <c r="M48" s="196"/>
      <c r="N48" s="209"/>
      <c r="O48" s="258" t="s">
        <v>102</v>
      </c>
      <c r="P48" s="258"/>
      <c r="Q48" s="209" t="s">
        <v>95</v>
      </c>
      <c r="R48" s="209" t="s">
        <v>162</v>
      </c>
      <c r="S48" s="257" t="s">
        <v>100</v>
      </c>
      <c r="T48" s="222" t="s">
        <v>136</v>
      </c>
      <c r="U48" s="209" t="s">
        <v>136</v>
      </c>
      <c r="V48" s="226" t="s">
        <v>1152</v>
      </c>
      <c r="W48" s="199" t="s">
        <v>1786</v>
      </c>
      <c r="X48" s="209" t="s">
        <v>1806</v>
      </c>
      <c r="Y48" s="259" t="s">
        <v>673</v>
      </c>
      <c r="Z48" s="209" t="s">
        <v>674</v>
      </c>
      <c r="AA48" s="209"/>
      <c r="AB48" s="192">
        <v>45474</v>
      </c>
      <c r="AC48" s="192">
        <v>45536</v>
      </c>
      <c r="AD48" s="192">
        <v>45536</v>
      </c>
      <c r="AE48" s="193">
        <f t="shared" ca="1" si="47"/>
        <v>1</v>
      </c>
      <c r="AF48" s="193" t="s">
        <v>675</v>
      </c>
      <c r="AG48" s="193"/>
      <c r="AH48" s="193" t="s">
        <v>1662</v>
      </c>
      <c r="AI48" s="193"/>
      <c r="AJ48" s="193"/>
      <c r="AK48" s="193"/>
      <c r="AL48" s="193"/>
      <c r="AM48" s="193"/>
      <c r="AN48" s="193"/>
      <c r="AO48" s="193"/>
      <c r="AP48" s="257">
        <v>7909265129</v>
      </c>
      <c r="AQ48" s="208">
        <v>5682000</v>
      </c>
      <c r="AR48" s="208"/>
      <c r="AS48" s="209" t="s">
        <v>676</v>
      </c>
      <c r="AT48" s="209"/>
      <c r="AU48" s="209"/>
      <c r="AV48" s="209"/>
      <c r="AW48" s="209"/>
      <c r="AX48" s="209"/>
      <c r="AY48" s="209"/>
      <c r="AZ48" s="209"/>
      <c r="BA48" s="209"/>
      <c r="BB48" s="209"/>
      <c r="BC48" s="209"/>
      <c r="BD48" s="209"/>
      <c r="BE48" s="209"/>
      <c r="BF48" s="210"/>
      <c r="BG48" s="181">
        <v>68</v>
      </c>
    </row>
    <row r="49" spans="1:59" ht="20.100000000000001" customHeight="1" x14ac:dyDescent="0.25">
      <c r="A49" s="181">
        <f>SUBTOTAL(3,$C$3:C49)</f>
        <v>47</v>
      </c>
      <c r="B49" s="198" t="s">
        <v>1720</v>
      </c>
      <c r="C49" s="242" t="s">
        <v>677</v>
      </c>
      <c r="D49" s="242" t="s">
        <v>34</v>
      </c>
      <c r="E49" s="237">
        <v>36827</v>
      </c>
      <c r="F49" s="184">
        <f t="shared" si="46"/>
        <v>10</v>
      </c>
      <c r="G49" s="255" t="s">
        <v>678</v>
      </c>
      <c r="H49" s="191">
        <v>44550</v>
      </c>
      <c r="I49" s="226" t="s">
        <v>37</v>
      </c>
      <c r="J49" s="256" t="s">
        <v>679</v>
      </c>
      <c r="K49" s="256" t="s">
        <v>680</v>
      </c>
      <c r="L49" s="196"/>
      <c r="M49" s="196"/>
      <c r="N49" s="209"/>
      <c r="O49" s="253" t="s">
        <v>681</v>
      </c>
      <c r="P49" s="253"/>
      <c r="Q49" s="209" t="s">
        <v>682</v>
      </c>
      <c r="R49" s="209" t="s">
        <v>282</v>
      </c>
      <c r="S49" s="257" t="s">
        <v>683</v>
      </c>
      <c r="T49" s="209"/>
      <c r="U49" s="209" t="s">
        <v>224</v>
      </c>
      <c r="V49" s="226" t="s">
        <v>1152</v>
      </c>
      <c r="W49" s="205" t="s">
        <v>179</v>
      </c>
      <c r="X49" s="209" t="s">
        <v>625</v>
      </c>
      <c r="Y49" s="260" t="s">
        <v>255</v>
      </c>
      <c r="Z49" s="209" t="s">
        <v>684</v>
      </c>
      <c r="AA49" s="260" t="s">
        <v>685</v>
      </c>
      <c r="AB49" s="192">
        <v>45488</v>
      </c>
      <c r="AC49" s="192">
        <v>45550</v>
      </c>
      <c r="AD49" s="192">
        <v>45550</v>
      </c>
      <c r="AE49" s="193">
        <f t="shared" ca="1" si="47"/>
        <v>1</v>
      </c>
      <c r="AF49" s="193" t="s">
        <v>675</v>
      </c>
      <c r="AG49" s="193"/>
      <c r="AH49" s="193" t="s">
        <v>1662</v>
      </c>
      <c r="AI49" s="193"/>
      <c r="AJ49" s="193"/>
      <c r="AK49" s="193"/>
      <c r="AL49" s="193"/>
      <c r="AM49" s="193"/>
      <c r="AN49" s="193"/>
      <c r="AO49" s="193"/>
      <c r="AP49" s="257">
        <v>7933339730</v>
      </c>
      <c r="AQ49" s="208">
        <v>5682000</v>
      </c>
      <c r="AR49" s="208"/>
      <c r="AS49" s="260">
        <v>0</v>
      </c>
      <c r="AT49" s="209"/>
      <c r="AU49" s="209"/>
      <c r="AV49" s="209"/>
      <c r="AW49" s="209"/>
      <c r="AX49" s="209"/>
      <c r="AY49" s="209"/>
      <c r="AZ49" s="209"/>
      <c r="BA49" s="209"/>
      <c r="BB49" s="209"/>
      <c r="BC49" s="209"/>
      <c r="BD49" s="209"/>
      <c r="BE49" s="209"/>
      <c r="BF49" s="210"/>
      <c r="BG49" s="181">
        <v>69</v>
      </c>
    </row>
    <row r="50" spans="1:59" ht="20.100000000000001" customHeight="1" x14ac:dyDescent="0.25">
      <c r="A50" s="181">
        <f>SUBTOTAL(3,$C$3:C50)</f>
        <v>48</v>
      </c>
      <c r="B50" s="198" t="s">
        <v>1756</v>
      </c>
      <c r="C50" s="242" t="s">
        <v>686</v>
      </c>
      <c r="D50" s="242" t="s">
        <v>34</v>
      </c>
      <c r="E50" s="237">
        <v>35855</v>
      </c>
      <c r="F50" s="184">
        <f t="shared" si="46"/>
        <v>3</v>
      </c>
      <c r="G50" s="255" t="s">
        <v>687</v>
      </c>
      <c r="H50" s="191">
        <v>44618</v>
      </c>
      <c r="I50" s="226" t="s">
        <v>37</v>
      </c>
      <c r="J50" s="256" t="s">
        <v>688</v>
      </c>
      <c r="K50" s="256" t="s">
        <v>689</v>
      </c>
      <c r="L50" s="196" t="s">
        <v>690</v>
      </c>
      <c r="M50" s="196"/>
      <c r="N50" s="209"/>
      <c r="O50" s="253" t="s">
        <v>691</v>
      </c>
      <c r="P50" s="253"/>
      <c r="Q50" s="209" t="s">
        <v>692</v>
      </c>
      <c r="R50" s="209" t="s">
        <v>282</v>
      </c>
      <c r="S50" s="257" t="s">
        <v>693</v>
      </c>
      <c r="T50" s="209"/>
      <c r="U50" s="209" t="s">
        <v>695</v>
      </c>
      <c r="V50" s="226" t="s">
        <v>1152</v>
      </c>
      <c r="W50" s="205" t="s">
        <v>179</v>
      </c>
      <c r="X50" s="209" t="s">
        <v>168</v>
      </c>
      <c r="Y50" s="260" t="s">
        <v>255</v>
      </c>
      <c r="Z50" s="209" t="s">
        <v>696</v>
      </c>
      <c r="AA50" s="260" t="s">
        <v>697</v>
      </c>
      <c r="AB50" s="192">
        <v>45505</v>
      </c>
      <c r="AC50" s="192">
        <v>45566</v>
      </c>
      <c r="AD50" s="192">
        <v>45566</v>
      </c>
      <c r="AE50" s="193">
        <f t="shared" ca="1" si="47"/>
        <v>1</v>
      </c>
      <c r="AF50" s="193" t="s">
        <v>698</v>
      </c>
      <c r="AG50" s="193"/>
      <c r="AH50" s="193" t="s">
        <v>1662</v>
      </c>
      <c r="AI50" s="193"/>
      <c r="AJ50" s="193"/>
      <c r="AK50" s="193"/>
      <c r="AL50" s="193"/>
      <c r="AM50" s="193"/>
      <c r="AN50" s="193"/>
      <c r="AO50" s="193"/>
      <c r="AP50" s="257" t="s">
        <v>694</v>
      </c>
      <c r="AQ50" s="208">
        <v>5682000</v>
      </c>
      <c r="AR50" s="208"/>
      <c r="AS50" s="260" t="s">
        <v>699</v>
      </c>
      <c r="AT50" s="209"/>
      <c r="AU50" s="209"/>
      <c r="AV50" s="209"/>
      <c r="AW50" s="209"/>
      <c r="AX50" s="209"/>
      <c r="AY50" s="209"/>
      <c r="AZ50" s="209"/>
      <c r="BA50" s="209"/>
      <c r="BB50" s="209"/>
      <c r="BC50" s="209"/>
      <c r="BD50" s="209"/>
      <c r="BE50" s="209"/>
      <c r="BF50" s="210"/>
      <c r="BG50" s="181">
        <v>70</v>
      </c>
    </row>
    <row r="51" spans="1:59" ht="20.100000000000001" customHeight="1" x14ac:dyDescent="0.25">
      <c r="A51" s="181">
        <f>SUBTOTAL(3,$C$3:C51)</f>
        <v>49</v>
      </c>
      <c r="B51" s="198" t="s">
        <v>1710</v>
      </c>
      <c r="C51" s="242" t="s">
        <v>710</v>
      </c>
      <c r="D51" s="242" t="s">
        <v>34</v>
      </c>
      <c r="E51" s="237">
        <v>33559</v>
      </c>
      <c r="F51" s="184">
        <f t="shared" si="46"/>
        <v>11</v>
      </c>
      <c r="G51" s="255" t="s">
        <v>711</v>
      </c>
      <c r="H51" s="191">
        <v>44564</v>
      </c>
      <c r="I51" s="226" t="s">
        <v>37</v>
      </c>
      <c r="J51" s="256" t="s">
        <v>712</v>
      </c>
      <c r="K51" s="256" t="s">
        <v>713</v>
      </c>
      <c r="L51" s="196"/>
      <c r="M51" s="196"/>
      <c r="N51" s="209"/>
      <c r="O51" s="253" t="s">
        <v>714</v>
      </c>
      <c r="P51" s="253"/>
      <c r="Q51" s="209" t="s">
        <v>715</v>
      </c>
      <c r="R51" s="209" t="s">
        <v>282</v>
      </c>
      <c r="S51" s="257" t="s">
        <v>716</v>
      </c>
      <c r="T51" s="209"/>
      <c r="U51" s="209" t="s">
        <v>104</v>
      </c>
      <c r="V51" s="226" t="s">
        <v>1152</v>
      </c>
      <c r="W51" s="253" t="s">
        <v>89</v>
      </c>
      <c r="X51" s="199" t="s">
        <v>1645</v>
      </c>
      <c r="Y51" s="260" t="s">
        <v>718</v>
      </c>
      <c r="Z51" s="260" t="s">
        <v>719</v>
      </c>
      <c r="AA51" s="260" t="s">
        <v>720</v>
      </c>
      <c r="AB51" s="192">
        <v>45547</v>
      </c>
      <c r="AC51" s="192">
        <v>45608</v>
      </c>
      <c r="AD51" s="192">
        <v>45608</v>
      </c>
      <c r="AE51" s="193">
        <f t="shared" ca="1" si="47"/>
        <v>1</v>
      </c>
      <c r="AF51" s="193" t="s">
        <v>669</v>
      </c>
      <c r="AG51" s="193"/>
      <c r="AH51" s="193" t="s">
        <v>1662</v>
      </c>
      <c r="AI51" s="193"/>
      <c r="AJ51" s="193"/>
      <c r="AK51" s="193"/>
      <c r="AL51" s="193"/>
      <c r="AM51" s="193"/>
      <c r="AN51" s="193"/>
      <c r="AO51" s="193"/>
      <c r="AP51" s="257" t="s">
        <v>717</v>
      </c>
      <c r="AQ51" s="208">
        <v>5682000</v>
      </c>
      <c r="AR51" s="208"/>
      <c r="AS51" s="260" t="s">
        <v>721</v>
      </c>
      <c r="AT51" s="209"/>
      <c r="AU51" s="209"/>
      <c r="AV51" s="209"/>
      <c r="AW51" s="209"/>
      <c r="AX51" s="209"/>
      <c r="AY51" s="209"/>
      <c r="AZ51" s="209"/>
      <c r="BA51" s="209"/>
      <c r="BB51" s="209"/>
      <c r="BC51" s="209"/>
      <c r="BD51" s="209"/>
      <c r="BE51" s="209"/>
      <c r="BF51" s="210"/>
      <c r="BG51" s="181">
        <v>72</v>
      </c>
    </row>
    <row r="52" spans="1:59" ht="20.100000000000001" customHeight="1" x14ac:dyDescent="0.25">
      <c r="A52" s="181">
        <f>SUBTOTAL(3,$C$3:C52)</f>
        <v>50</v>
      </c>
      <c r="B52" s="198" t="s">
        <v>1714</v>
      </c>
      <c r="C52" s="242" t="s">
        <v>731</v>
      </c>
      <c r="D52" s="242" t="s">
        <v>34</v>
      </c>
      <c r="E52" s="237">
        <v>33271</v>
      </c>
      <c r="F52" s="184">
        <f t="shared" si="46"/>
        <v>2</v>
      </c>
      <c r="G52" s="255" t="s">
        <v>732</v>
      </c>
      <c r="H52" s="191">
        <v>44955</v>
      </c>
      <c r="I52" s="226" t="s">
        <v>37</v>
      </c>
      <c r="J52" s="256" t="s">
        <v>733</v>
      </c>
      <c r="K52" s="256" t="s">
        <v>734</v>
      </c>
      <c r="L52" s="196"/>
      <c r="M52" s="196"/>
      <c r="N52" s="209"/>
      <c r="O52" s="253" t="s">
        <v>735</v>
      </c>
      <c r="P52" s="253"/>
      <c r="Q52" s="209" t="s">
        <v>736</v>
      </c>
      <c r="R52" s="209" t="s">
        <v>737</v>
      </c>
      <c r="S52" s="257" t="s">
        <v>738</v>
      </c>
      <c r="T52" s="222" t="s">
        <v>136</v>
      </c>
      <c r="U52" s="209" t="s">
        <v>739</v>
      </c>
      <c r="V52" s="226" t="s">
        <v>1152</v>
      </c>
      <c r="W52" s="199" t="s">
        <v>1786</v>
      </c>
      <c r="X52" s="209" t="s">
        <v>46</v>
      </c>
      <c r="Y52" s="260" t="s">
        <v>585</v>
      </c>
      <c r="Z52" s="260" t="s">
        <v>740</v>
      </c>
      <c r="AA52" s="261" t="s">
        <v>741</v>
      </c>
      <c r="AB52" s="192">
        <v>45562</v>
      </c>
      <c r="AC52" s="192">
        <v>45627</v>
      </c>
      <c r="AD52" s="192">
        <v>45628</v>
      </c>
      <c r="AE52" s="193">
        <f t="shared" ca="1" si="47"/>
        <v>1</v>
      </c>
      <c r="AF52" s="193" t="s">
        <v>742</v>
      </c>
      <c r="AG52" s="193"/>
      <c r="AH52" s="193" t="s">
        <v>1662</v>
      </c>
      <c r="AI52" s="193"/>
      <c r="AJ52" s="193"/>
      <c r="AK52" s="193"/>
      <c r="AL52" s="193"/>
      <c r="AM52" s="193"/>
      <c r="AN52" s="193"/>
      <c r="AO52" s="193"/>
      <c r="AP52" s="257">
        <v>7914244334</v>
      </c>
      <c r="AQ52" s="208">
        <v>5682000</v>
      </c>
      <c r="AR52" s="208"/>
      <c r="AS52" s="260">
        <v>1800690847</v>
      </c>
      <c r="AT52" s="209"/>
      <c r="AU52" s="209"/>
      <c r="AV52" s="209"/>
      <c r="AW52" s="209"/>
      <c r="AX52" s="209"/>
      <c r="AY52" s="209"/>
      <c r="AZ52" s="209"/>
      <c r="BA52" s="209"/>
      <c r="BB52" s="209"/>
      <c r="BC52" s="209"/>
      <c r="BD52" s="209"/>
      <c r="BE52" s="209"/>
      <c r="BF52" s="210"/>
      <c r="BG52" s="181">
        <v>74</v>
      </c>
    </row>
    <row r="53" spans="1:59" ht="20.100000000000001" customHeight="1" x14ac:dyDescent="0.25">
      <c r="A53" s="181">
        <f>SUBTOTAL(3,$C$3:C53)</f>
        <v>51</v>
      </c>
      <c r="B53" s="198" t="s">
        <v>1729</v>
      </c>
      <c r="C53" s="242" t="s">
        <v>743</v>
      </c>
      <c r="D53" s="242" t="s">
        <v>34</v>
      </c>
      <c r="E53" s="237">
        <v>27530</v>
      </c>
      <c r="F53" s="184">
        <f t="shared" si="46"/>
        <v>5</v>
      </c>
      <c r="G53" s="255" t="s">
        <v>744</v>
      </c>
      <c r="H53" s="191">
        <v>44550</v>
      </c>
      <c r="I53" s="226" t="s">
        <v>37</v>
      </c>
      <c r="J53" s="256" t="s">
        <v>745</v>
      </c>
      <c r="K53" s="256" t="s">
        <v>746</v>
      </c>
      <c r="L53" s="196"/>
      <c r="M53" s="196"/>
      <c r="N53" s="209"/>
      <c r="O53" s="253" t="s">
        <v>747</v>
      </c>
      <c r="P53" s="253"/>
      <c r="Q53" s="209" t="s">
        <v>748</v>
      </c>
      <c r="R53" s="209" t="s">
        <v>71</v>
      </c>
      <c r="S53" s="257" t="s">
        <v>749</v>
      </c>
      <c r="T53" s="209"/>
      <c r="U53" s="209" t="s">
        <v>750</v>
      </c>
      <c r="V53" s="199" t="s">
        <v>1679</v>
      </c>
      <c r="W53" s="253" t="s">
        <v>310</v>
      </c>
      <c r="X53" s="209" t="s">
        <v>46</v>
      </c>
      <c r="Y53" s="260" t="s">
        <v>585</v>
      </c>
      <c r="Z53" s="260" t="s">
        <v>751</v>
      </c>
      <c r="AA53" s="261" t="s">
        <v>752</v>
      </c>
      <c r="AB53" s="192">
        <v>45566</v>
      </c>
      <c r="AC53" s="192">
        <v>45627</v>
      </c>
      <c r="AD53" s="192">
        <v>45627</v>
      </c>
      <c r="AE53" s="193">
        <f t="shared" ca="1" si="47"/>
        <v>1</v>
      </c>
      <c r="AF53" s="193" t="s">
        <v>742</v>
      </c>
      <c r="AG53" s="193"/>
      <c r="AH53" s="193" t="s">
        <v>1662</v>
      </c>
      <c r="AI53" s="193"/>
      <c r="AJ53" s="193"/>
      <c r="AK53" s="193"/>
      <c r="AL53" s="193"/>
      <c r="AM53" s="193"/>
      <c r="AN53" s="193"/>
      <c r="AO53" s="193"/>
      <c r="AP53" s="257">
        <v>7911298766</v>
      </c>
      <c r="AQ53" s="208">
        <v>5682000</v>
      </c>
      <c r="AR53" s="208"/>
      <c r="AS53" s="260" t="s">
        <v>753</v>
      </c>
      <c r="AT53" s="209"/>
      <c r="AU53" s="209"/>
      <c r="AV53" s="209"/>
      <c r="AW53" s="209"/>
      <c r="AX53" s="209"/>
      <c r="AY53" s="209"/>
      <c r="AZ53" s="209"/>
      <c r="BA53" s="209"/>
      <c r="BB53" s="209"/>
      <c r="BC53" s="209"/>
      <c r="BD53" s="209"/>
      <c r="BE53" s="209"/>
      <c r="BF53" s="209"/>
      <c r="BG53" s="181">
        <v>75</v>
      </c>
    </row>
    <row r="54" spans="1:59" ht="20.100000000000001" customHeight="1" x14ac:dyDescent="0.25">
      <c r="A54" s="181">
        <f>SUBTOTAL(3,$C$3:C54)</f>
        <v>52</v>
      </c>
      <c r="B54" s="198" t="s">
        <v>1726</v>
      </c>
      <c r="C54" s="242" t="s">
        <v>208</v>
      </c>
      <c r="D54" s="242" t="s">
        <v>34</v>
      </c>
      <c r="E54" s="237">
        <v>30002</v>
      </c>
      <c r="F54" s="184">
        <f t="shared" si="46"/>
        <v>2</v>
      </c>
      <c r="G54" s="255" t="s">
        <v>754</v>
      </c>
      <c r="H54" s="191">
        <v>45036</v>
      </c>
      <c r="I54" s="226" t="s">
        <v>37</v>
      </c>
      <c r="J54" s="256" t="s">
        <v>755</v>
      </c>
      <c r="K54" s="256" t="s">
        <v>756</v>
      </c>
      <c r="L54" s="196"/>
      <c r="M54" s="196"/>
      <c r="N54" s="209"/>
      <c r="O54" s="253" t="s">
        <v>757</v>
      </c>
      <c r="P54" s="253"/>
      <c r="Q54" s="209" t="s">
        <v>758</v>
      </c>
      <c r="R54" s="209" t="s">
        <v>71</v>
      </c>
      <c r="S54" s="257" t="s">
        <v>759</v>
      </c>
      <c r="T54" s="209"/>
      <c r="U54" s="209" t="s">
        <v>224</v>
      </c>
      <c r="V54" s="226" t="s">
        <v>1152</v>
      </c>
      <c r="W54" s="205" t="s">
        <v>179</v>
      </c>
      <c r="X54" s="209" t="s">
        <v>625</v>
      </c>
      <c r="Y54" s="260" t="s">
        <v>255</v>
      </c>
      <c r="Z54" s="260" t="s">
        <v>760</v>
      </c>
      <c r="AA54" s="261" t="s">
        <v>761</v>
      </c>
      <c r="AB54" s="192">
        <v>45580</v>
      </c>
      <c r="AC54" s="192">
        <v>45580</v>
      </c>
      <c r="AD54" s="192">
        <v>45597</v>
      </c>
      <c r="AE54" s="193">
        <f t="shared" ca="1" si="47"/>
        <v>1</v>
      </c>
      <c r="AF54" s="193" t="s">
        <v>669</v>
      </c>
      <c r="AG54" s="193"/>
      <c r="AH54" s="193" t="s">
        <v>1662</v>
      </c>
      <c r="AI54" s="193"/>
      <c r="AJ54" s="193"/>
      <c r="AK54" s="193"/>
      <c r="AL54" s="193"/>
      <c r="AM54" s="193"/>
      <c r="AN54" s="193"/>
      <c r="AO54" s="193"/>
      <c r="AP54" s="257">
        <v>7912096653</v>
      </c>
      <c r="AQ54" s="208">
        <v>5682000</v>
      </c>
      <c r="AR54" s="208"/>
      <c r="AS54" s="260" t="s">
        <v>762</v>
      </c>
      <c r="AT54" s="209"/>
      <c r="AU54" s="209"/>
      <c r="AV54" s="209"/>
      <c r="AW54" s="209"/>
      <c r="AX54" s="209"/>
      <c r="AY54" s="209"/>
      <c r="AZ54" s="209"/>
      <c r="BA54" s="209"/>
      <c r="BB54" s="209"/>
      <c r="BC54" s="209"/>
      <c r="BD54" s="209"/>
      <c r="BE54" s="307"/>
      <c r="BF54" s="210"/>
      <c r="BG54" s="181">
        <v>76</v>
      </c>
    </row>
    <row r="55" spans="1:59" ht="20.100000000000001" customHeight="1" x14ac:dyDescent="0.25">
      <c r="A55" s="181">
        <f>SUBTOTAL(3,$C$3:C55)</f>
        <v>53</v>
      </c>
      <c r="B55" s="198" t="s">
        <v>1758</v>
      </c>
      <c r="C55" s="242" t="s">
        <v>763</v>
      </c>
      <c r="D55" s="242" t="s">
        <v>34</v>
      </c>
      <c r="E55" s="237">
        <v>32758</v>
      </c>
      <c r="F55" s="184">
        <f t="shared" si="46"/>
        <v>9</v>
      </c>
      <c r="G55" s="255" t="s">
        <v>764</v>
      </c>
      <c r="H55" s="191">
        <v>44425</v>
      </c>
      <c r="I55" s="226" t="s">
        <v>37</v>
      </c>
      <c r="J55" s="256" t="s">
        <v>765</v>
      </c>
      <c r="K55" s="256" t="s">
        <v>766</v>
      </c>
      <c r="L55" s="196"/>
      <c r="M55" s="196"/>
      <c r="N55" s="209"/>
      <c r="O55" s="253" t="s">
        <v>767</v>
      </c>
      <c r="P55" s="253"/>
      <c r="Q55" s="209" t="s">
        <v>768</v>
      </c>
      <c r="R55" s="209" t="s">
        <v>282</v>
      </c>
      <c r="S55" s="257" t="s">
        <v>769</v>
      </c>
      <c r="T55" s="209" t="s">
        <v>770</v>
      </c>
      <c r="U55" s="209" t="s">
        <v>771</v>
      </c>
      <c r="V55" s="226" t="s">
        <v>1152</v>
      </c>
      <c r="W55" s="205" t="s">
        <v>179</v>
      </c>
      <c r="X55" s="209" t="s">
        <v>625</v>
      </c>
      <c r="Y55" s="260" t="s">
        <v>255</v>
      </c>
      <c r="Z55" s="260" t="s">
        <v>772</v>
      </c>
      <c r="AA55" s="261" t="s">
        <v>773</v>
      </c>
      <c r="AB55" s="192">
        <v>45607</v>
      </c>
      <c r="AC55" s="192">
        <v>45668</v>
      </c>
      <c r="AD55" s="192">
        <v>45691</v>
      </c>
      <c r="AE55" s="193">
        <f t="shared" ca="1" si="47"/>
        <v>1</v>
      </c>
      <c r="AF55" s="193" t="s">
        <v>774</v>
      </c>
      <c r="AG55" s="193"/>
      <c r="AH55" s="193" t="s">
        <v>1662</v>
      </c>
      <c r="AI55" s="193"/>
      <c r="AJ55" s="193"/>
      <c r="AK55" s="193"/>
      <c r="AL55" s="193"/>
      <c r="AM55" s="193"/>
      <c r="AN55" s="193"/>
      <c r="AO55" s="193"/>
      <c r="AP55" s="257">
        <v>7910102242</v>
      </c>
      <c r="AQ55" s="208">
        <v>5682000</v>
      </c>
      <c r="AR55" s="208"/>
      <c r="AS55" s="260" t="s">
        <v>775</v>
      </c>
      <c r="AT55" s="209"/>
      <c r="AU55" s="209"/>
      <c r="AV55" s="209"/>
      <c r="AW55" s="209"/>
      <c r="AX55" s="209"/>
      <c r="AY55" s="209"/>
      <c r="AZ55" s="209"/>
      <c r="BA55" s="209"/>
      <c r="BB55" s="209"/>
      <c r="BC55" s="209"/>
      <c r="BD55" s="209"/>
      <c r="BE55" s="209"/>
      <c r="BF55" s="210"/>
      <c r="BG55" s="181">
        <v>2</v>
      </c>
    </row>
    <row r="56" spans="1:59" ht="20.100000000000001" customHeight="1" x14ac:dyDescent="0.25">
      <c r="A56" s="181">
        <f>SUBTOTAL(3,$C$3:C56)</f>
        <v>54</v>
      </c>
      <c r="B56" s="198" t="s">
        <v>1724</v>
      </c>
      <c r="C56" s="242" t="s">
        <v>776</v>
      </c>
      <c r="D56" s="242" t="s">
        <v>34</v>
      </c>
      <c r="E56" s="237">
        <v>34839</v>
      </c>
      <c r="F56" s="184">
        <f t="shared" si="46"/>
        <v>5</v>
      </c>
      <c r="G56" s="255" t="s">
        <v>777</v>
      </c>
      <c r="H56" s="191">
        <v>44705</v>
      </c>
      <c r="I56" s="226" t="s">
        <v>37</v>
      </c>
      <c r="J56" s="256" t="s">
        <v>1794</v>
      </c>
      <c r="K56" s="256" t="s">
        <v>778</v>
      </c>
      <c r="L56" s="196"/>
      <c r="M56" s="196"/>
      <c r="N56" s="209"/>
      <c r="O56" s="253" t="s">
        <v>779</v>
      </c>
      <c r="P56" s="253"/>
      <c r="Q56" s="209" t="s">
        <v>780</v>
      </c>
      <c r="R56" s="209" t="s">
        <v>664</v>
      </c>
      <c r="S56" s="257" t="s">
        <v>781</v>
      </c>
      <c r="T56" s="209" t="s">
        <v>782</v>
      </c>
      <c r="U56" s="209" t="s">
        <v>695</v>
      </c>
      <c r="V56" s="226" t="s">
        <v>1152</v>
      </c>
      <c r="W56" s="205" t="s">
        <v>179</v>
      </c>
      <c r="X56" s="209" t="s">
        <v>168</v>
      </c>
      <c r="Y56" s="260" t="s">
        <v>255</v>
      </c>
      <c r="Z56" s="260" t="s">
        <v>783</v>
      </c>
      <c r="AA56" s="260" t="s">
        <v>784</v>
      </c>
      <c r="AB56" s="192">
        <v>45614</v>
      </c>
      <c r="AC56" s="192">
        <v>45675</v>
      </c>
      <c r="AD56" s="192">
        <v>45675</v>
      </c>
      <c r="AE56" s="193">
        <f t="shared" ca="1" si="47"/>
        <v>1</v>
      </c>
      <c r="AF56" s="193" t="s">
        <v>774</v>
      </c>
      <c r="AG56" s="193"/>
      <c r="AH56" s="193" t="s">
        <v>1662</v>
      </c>
      <c r="AI56" s="193"/>
      <c r="AJ56" s="193"/>
      <c r="AK56" s="193"/>
      <c r="AL56" s="193"/>
      <c r="AM56" s="193"/>
      <c r="AN56" s="193"/>
      <c r="AO56" s="193"/>
      <c r="AP56" s="257">
        <v>5220702631</v>
      </c>
      <c r="AQ56" s="208">
        <v>5682000</v>
      </c>
      <c r="AR56" s="208"/>
      <c r="AS56" s="256" t="s">
        <v>786</v>
      </c>
      <c r="AT56" s="209"/>
      <c r="AU56" s="209"/>
      <c r="AV56" s="209"/>
      <c r="AW56" s="209"/>
      <c r="AX56" s="209"/>
      <c r="AY56" s="209"/>
      <c r="AZ56" s="209"/>
      <c r="BA56" s="209"/>
      <c r="BB56" s="209"/>
      <c r="BC56" s="209"/>
      <c r="BD56" s="209"/>
      <c r="BE56" s="209"/>
      <c r="BF56" s="209"/>
      <c r="BG56" s="181">
        <v>3</v>
      </c>
    </row>
    <row r="57" spans="1:59" ht="20.100000000000001" customHeight="1" x14ac:dyDescent="0.25">
      <c r="A57" s="181">
        <f>SUBTOTAL(3,$C$3:C57)</f>
        <v>55</v>
      </c>
      <c r="B57" s="198" t="s">
        <v>1728</v>
      </c>
      <c r="C57" s="242" t="s">
        <v>787</v>
      </c>
      <c r="D57" s="242" t="s">
        <v>78</v>
      </c>
      <c r="E57" s="237">
        <v>31408</v>
      </c>
      <c r="F57" s="184">
        <f t="shared" si="46"/>
        <v>12</v>
      </c>
      <c r="G57" s="255" t="s">
        <v>788</v>
      </c>
      <c r="H57" s="191">
        <v>44859</v>
      </c>
      <c r="I57" s="226" t="s">
        <v>789</v>
      </c>
      <c r="J57" s="256" t="s">
        <v>790</v>
      </c>
      <c r="K57" s="256"/>
      <c r="L57" s="196"/>
      <c r="M57" s="196"/>
      <c r="N57" s="209"/>
      <c r="O57" s="253" t="s">
        <v>53</v>
      </c>
      <c r="P57" s="253"/>
      <c r="Q57" s="209" t="s">
        <v>1479</v>
      </c>
      <c r="R57" s="209" t="s">
        <v>1217</v>
      </c>
      <c r="S57" s="257" t="s">
        <v>1478</v>
      </c>
      <c r="T57" s="209" t="s">
        <v>1480</v>
      </c>
      <c r="U57" s="209" t="s">
        <v>791</v>
      </c>
      <c r="V57" s="199" t="s">
        <v>1679</v>
      </c>
      <c r="W57" s="253" t="s">
        <v>310</v>
      </c>
      <c r="X57" s="209" t="s">
        <v>46</v>
      </c>
      <c r="Y57" s="260" t="s">
        <v>792</v>
      </c>
      <c r="Z57" s="260" t="s">
        <v>1480</v>
      </c>
      <c r="AA57" s="261" t="s">
        <v>1482</v>
      </c>
      <c r="AB57" s="238" t="s">
        <v>1481</v>
      </c>
      <c r="AC57" s="192">
        <v>45444</v>
      </c>
      <c r="AD57" s="192">
        <v>45444</v>
      </c>
      <c r="AE57" s="193">
        <f t="shared" ca="1" si="47"/>
        <v>2</v>
      </c>
      <c r="AF57" s="193" t="s">
        <v>877</v>
      </c>
      <c r="AG57" s="193"/>
      <c r="AH57" s="193" t="s">
        <v>1662</v>
      </c>
      <c r="AI57" s="193"/>
      <c r="AJ57" s="193"/>
      <c r="AK57" s="193"/>
      <c r="AL57" s="193"/>
      <c r="AM57" s="193"/>
      <c r="AN57" s="193"/>
      <c r="AO57" s="193"/>
      <c r="AP57" s="257">
        <v>7910080036</v>
      </c>
      <c r="AQ57" s="208">
        <v>5682000</v>
      </c>
      <c r="AR57" s="208"/>
      <c r="AS57" s="256" t="s">
        <v>1483</v>
      </c>
      <c r="AT57" s="209"/>
      <c r="AU57" s="209"/>
      <c r="AV57" s="209"/>
      <c r="AW57" s="209"/>
      <c r="AX57" s="209"/>
      <c r="AY57" s="209"/>
      <c r="AZ57" s="209"/>
      <c r="BA57" s="209"/>
      <c r="BB57" s="209"/>
      <c r="BC57" s="209"/>
      <c r="BD57" s="209"/>
      <c r="BE57" s="307"/>
      <c r="BF57" s="210"/>
      <c r="BG57" s="181">
        <v>1</v>
      </c>
    </row>
    <row r="58" spans="1:59" ht="20.100000000000001" customHeight="1" x14ac:dyDescent="0.25">
      <c r="A58" s="343">
        <f>SUBTOTAL(3,$C$3:C58)</f>
        <v>56</v>
      </c>
      <c r="B58" s="348" t="s">
        <v>1750</v>
      </c>
      <c r="C58" s="324" t="s">
        <v>1491</v>
      </c>
      <c r="D58" s="324" t="s">
        <v>34</v>
      </c>
      <c r="E58" s="325">
        <v>32952</v>
      </c>
      <c r="F58" s="326">
        <f t="shared" si="46"/>
        <v>3</v>
      </c>
      <c r="G58" s="327" t="s">
        <v>1509</v>
      </c>
      <c r="H58" s="328">
        <v>44729</v>
      </c>
      <c r="I58" s="329" t="s">
        <v>37</v>
      </c>
      <c r="J58" s="330" t="s">
        <v>1574</v>
      </c>
      <c r="K58" s="330" t="s">
        <v>1573</v>
      </c>
      <c r="L58" s="331"/>
      <c r="M58" s="331"/>
      <c r="N58" s="334"/>
      <c r="O58" s="333" t="s">
        <v>1517</v>
      </c>
      <c r="P58" s="333"/>
      <c r="Q58" s="334" t="s">
        <v>1518</v>
      </c>
      <c r="R58" s="334" t="s">
        <v>71</v>
      </c>
      <c r="S58" s="335" t="s">
        <v>1519</v>
      </c>
      <c r="T58" s="334"/>
      <c r="U58" s="334" t="s">
        <v>1492</v>
      </c>
      <c r="V58" s="329" t="s">
        <v>1152</v>
      </c>
      <c r="W58" s="349" t="s">
        <v>179</v>
      </c>
      <c r="X58" s="334" t="s">
        <v>243</v>
      </c>
      <c r="Y58" s="337" t="s">
        <v>255</v>
      </c>
      <c r="Z58" s="337" t="s">
        <v>1547</v>
      </c>
      <c r="AA58" s="338" t="s">
        <v>1554</v>
      </c>
      <c r="AB58" s="339">
        <v>45751</v>
      </c>
      <c r="AC58" s="340">
        <v>45812</v>
      </c>
      <c r="AD58" s="340">
        <v>45812</v>
      </c>
      <c r="AE58" s="341">
        <f t="shared" ca="1" si="47"/>
        <v>1</v>
      </c>
      <c r="AF58" s="341" t="s">
        <v>1572</v>
      </c>
      <c r="AG58" s="341"/>
      <c r="AH58" s="341" t="s">
        <v>1662</v>
      </c>
      <c r="AI58" s="341"/>
      <c r="AJ58" s="341"/>
      <c r="AK58" s="341"/>
      <c r="AL58" s="341"/>
      <c r="AM58" s="341"/>
      <c r="AN58" s="341"/>
      <c r="AO58" s="341"/>
      <c r="AP58" s="335" t="s">
        <v>444</v>
      </c>
      <c r="AQ58" s="342">
        <v>5682000</v>
      </c>
      <c r="AR58" s="342"/>
      <c r="AS58" s="330" t="s">
        <v>1555</v>
      </c>
      <c r="AT58" s="334"/>
      <c r="AU58" s="334"/>
      <c r="AV58" s="334"/>
      <c r="AW58" s="334"/>
      <c r="AX58" s="334"/>
      <c r="AY58" s="334"/>
      <c r="AZ58" s="334"/>
      <c r="BA58" s="334"/>
      <c r="BB58" s="334"/>
      <c r="BC58" s="334"/>
      <c r="BD58" s="334"/>
      <c r="BE58" s="334"/>
      <c r="BF58" s="210"/>
      <c r="BG58" s="343">
        <v>7</v>
      </c>
    </row>
    <row r="59" spans="1:59" ht="20.100000000000001" customHeight="1" x14ac:dyDescent="0.25">
      <c r="A59" s="353">
        <f>SUBTOTAL(3,$C$3:C59)</f>
        <v>57</v>
      </c>
      <c r="B59" s="354" t="s">
        <v>1719</v>
      </c>
      <c r="C59" s="355" t="s">
        <v>1494</v>
      </c>
      <c r="D59" s="355" t="s">
        <v>34</v>
      </c>
      <c r="E59" s="356">
        <v>33205</v>
      </c>
      <c r="F59" s="357">
        <f t="shared" si="46"/>
        <v>11</v>
      </c>
      <c r="G59" s="358" t="s">
        <v>1511</v>
      </c>
      <c r="H59" s="359">
        <v>44315</v>
      </c>
      <c r="I59" s="360" t="s">
        <v>37</v>
      </c>
      <c r="J59" s="361" t="s">
        <v>1503</v>
      </c>
      <c r="K59" s="361" t="s">
        <v>1514</v>
      </c>
      <c r="L59" s="362"/>
      <c r="M59" s="362"/>
      <c r="N59" s="307"/>
      <c r="O59" s="319" t="s">
        <v>1523</v>
      </c>
      <c r="P59" s="319"/>
      <c r="Q59" s="307" t="s">
        <v>1524</v>
      </c>
      <c r="R59" s="307" t="s">
        <v>71</v>
      </c>
      <c r="S59" s="363" t="s">
        <v>1525</v>
      </c>
      <c r="T59" s="307"/>
      <c r="U59" s="307" t="s">
        <v>1540</v>
      </c>
      <c r="V59" s="360" t="s">
        <v>1152</v>
      </c>
      <c r="W59" s="319" t="s">
        <v>368</v>
      </c>
      <c r="X59" s="307" t="s">
        <v>369</v>
      </c>
      <c r="Y59" s="364" t="s">
        <v>255</v>
      </c>
      <c r="Z59" s="364" t="s">
        <v>1549</v>
      </c>
      <c r="AA59" s="365" t="s">
        <v>1558</v>
      </c>
      <c r="AB59" s="366">
        <v>45763</v>
      </c>
      <c r="AC59" s="297">
        <v>45763</v>
      </c>
      <c r="AD59" s="297">
        <v>45763</v>
      </c>
      <c r="AE59" s="291">
        <f t="shared" ca="1" si="47"/>
        <v>1</v>
      </c>
      <c r="AF59" s="291" t="s">
        <v>1571</v>
      </c>
      <c r="AG59" s="291"/>
      <c r="AH59" s="291" t="s">
        <v>1662</v>
      </c>
      <c r="AI59" s="291"/>
      <c r="AJ59" s="291"/>
      <c r="AK59" s="291"/>
      <c r="AL59" s="291"/>
      <c r="AM59" s="291"/>
      <c r="AN59" s="291"/>
      <c r="AO59" s="291"/>
      <c r="AP59" s="363" t="s">
        <v>1539</v>
      </c>
      <c r="AQ59" s="367">
        <v>5682000</v>
      </c>
      <c r="AR59" s="367"/>
      <c r="AS59" s="361" t="s">
        <v>1559</v>
      </c>
      <c r="AT59" s="307"/>
      <c r="AU59" s="307"/>
      <c r="AV59" s="307"/>
      <c r="AW59" s="307"/>
      <c r="AX59" s="307"/>
      <c r="AY59" s="307"/>
      <c r="AZ59" s="307"/>
      <c r="BA59" s="307"/>
      <c r="BB59" s="307"/>
      <c r="BC59" s="307"/>
      <c r="BD59" s="307"/>
      <c r="BE59" s="307"/>
      <c r="BF59" s="210"/>
      <c r="BG59" s="353">
        <v>5</v>
      </c>
    </row>
    <row r="60" spans="1:59" ht="20.100000000000001" customHeight="1" x14ac:dyDescent="0.25">
      <c r="A60" s="181">
        <f>SUBTOTAL(3,$C$3:C60)</f>
        <v>58</v>
      </c>
      <c r="B60" s="198" t="s">
        <v>1741</v>
      </c>
      <c r="C60" s="242" t="s">
        <v>1500</v>
      </c>
      <c r="D60" s="242" t="s">
        <v>34</v>
      </c>
      <c r="E60" s="237">
        <v>36122</v>
      </c>
      <c r="F60" s="184">
        <f>MONTH(E60)</f>
        <v>11</v>
      </c>
      <c r="G60" s="255" t="s">
        <v>1508</v>
      </c>
      <c r="H60" s="191">
        <v>44736</v>
      </c>
      <c r="I60" s="226" t="s">
        <v>37</v>
      </c>
      <c r="J60" s="256" t="s">
        <v>1591</v>
      </c>
      <c r="K60" s="256" t="s">
        <v>1591</v>
      </c>
      <c r="L60" s="196"/>
      <c r="M60" s="196"/>
      <c r="N60" s="209"/>
      <c r="O60" s="253" t="s">
        <v>1535</v>
      </c>
      <c r="P60" s="253"/>
      <c r="Q60" s="209" t="s">
        <v>1536</v>
      </c>
      <c r="R60" s="209" t="s">
        <v>664</v>
      </c>
      <c r="S60" s="257" t="s">
        <v>1537</v>
      </c>
      <c r="T60" s="209"/>
      <c r="U60" s="209" t="s">
        <v>1545</v>
      </c>
      <c r="V60" s="226" t="s">
        <v>1152</v>
      </c>
      <c r="W60" s="253" t="s">
        <v>179</v>
      </c>
      <c r="X60" s="209" t="s">
        <v>625</v>
      </c>
      <c r="Y60" s="260" t="s">
        <v>255</v>
      </c>
      <c r="Z60" s="260" t="s">
        <v>1553</v>
      </c>
      <c r="AA60" s="261" t="s">
        <v>1565</v>
      </c>
      <c r="AB60" s="239">
        <v>45782</v>
      </c>
      <c r="AC60" s="192">
        <v>45843</v>
      </c>
      <c r="AD60" s="192">
        <v>45870</v>
      </c>
      <c r="AE60" s="193">
        <f t="shared" ref="AE60:AE63" ca="1" si="48">DATEDIF(AC60,$BF$2,"y")</f>
        <v>1</v>
      </c>
      <c r="AF60" s="193" t="s">
        <v>1592</v>
      </c>
      <c r="AG60" s="193"/>
      <c r="AH60" s="193" t="s">
        <v>1662</v>
      </c>
      <c r="AI60" s="193"/>
      <c r="AJ60" s="193"/>
      <c r="AK60" s="193"/>
      <c r="AL60" s="193"/>
      <c r="AM60" s="193"/>
      <c r="AN60" s="193"/>
      <c r="AO60" s="193"/>
      <c r="AP60" s="257" t="s">
        <v>1546</v>
      </c>
      <c r="AQ60" s="208">
        <v>5682000</v>
      </c>
      <c r="AR60" s="208"/>
      <c r="AS60" s="256" t="s">
        <v>1566</v>
      </c>
      <c r="AT60" s="209"/>
      <c r="AU60" s="209"/>
      <c r="AV60" s="209"/>
      <c r="AW60" s="209"/>
      <c r="AX60" s="209"/>
      <c r="AY60" s="209"/>
      <c r="AZ60" s="209"/>
      <c r="BA60" s="209"/>
      <c r="BB60" s="209"/>
      <c r="BC60" s="209"/>
      <c r="BD60" s="209"/>
      <c r="BE60" s="209"/>
      <c r="BF60" s="210"/>
      <c r="BG60" s="181">
        <v>10</v>
      </c>
    </row>
    <row r="61" spans="1:59" ht="20.100000000000001" customHeight="1" x14ac:dyDescent="0.25">
      <c r="A61" s="181">
        <f>SUBTOTAL(3,$C$3:C61)</f>
        <v>59</v>
      </c>
      <c r="B61" s="198" t="s">
        <v>1747</v>
      </c>
      <c r="C61" s="242" t="s">
        <v>1567</v>
      </c>
      <c r="D61" s="242" t="s">
        <v>34</v>
      </c>
      <c r="E61" s="237">
        <v>35414</v>
      </c>
      <c r="F61" s="184">
        <f t="shared" ref="F61:F63" si="49">MONTH(E61)</f>
        <v>12</v>
      </c>
      <c r="G61" s="255" t="s">
        <v>1593</v>
      </c>
      <c r="H61" s="191">
        <v>44641</v>
      </c>
      <c r="I61" s="226" t="s">
        <v>37</v>
      </c>
      <c r="J61" s="256" t="s">
        <v>1598</v>
      </c>
      <c r="K61" s="256" t="s">
        <v>1598</v>
      </c>
      <c r="L61" s="196"/>
      <c r="M61" s="196"/>
      <c r="N61" s="209"/>
      <c r="O61" s="253" t="s">
        <v>1603</v>
      </c>
      <c r="P61" s="253"/>
      <c r="Q61" s="209" t="s">
        <v>1599</v>
      </c>
      <c r="R61" s="209" t="s">
        <v>71</v>
      </c>
      <c r="S61" s="257" t="s">
        <v>1600</v>
      </c>
      <c r="T61" s="209"/>
      <c r="U61" s="209" t="s">
        <v>224</v>
      </c>
      <c r="V61" s="226" t="s">
        <v>1152</v>
      </c>
      <c r="W61" s="253" t="s">
        <v>179</v>
      </c>
      <c r="X61" s="209"/>
      <c r="Y61" s="260" t="s">
        <v>255</v>
      </c>
      <c r="Z61" s="260" t="s">
        <v>1549</v>
      </c>
      <c r="AA61" s="261" t="s">
        <v>1601</v>
      </c>
      <c r="AB61" s="239" t="s">
        <v>1583</v>
      </c>
      <c r="AC61" s="192">
        <v>45871</v>
      </c>
      <c r="AD61" s="192">
        <v>45871</v>
      </c>
      <c r="AE61" s="193">
        <f t="shared" ca="1" si="48"/>
        <v>0</v>
      </c>
      <c r="AF61" s="193" t="s">
        <v>1592</v>
      </c>
      <c r="AG61" s="193"/>
      <c r="AH61" s="193" t="s">
        <v>1662</v>
      </c>
      <c r="AI61" s="193"/>
      <c r="AJ61" s="193"/>
      <c r="AK61" s="193"/>
      <c r="AL61" s="193"/>
      <c r="AM61" s="193"/>
      <c r="AN61" s="193"/>
      <c r="AO61" s="193"/>
      <c r="AP61" s="257">
        <v>7929419674</v>
      </c>
      <c r="AQ61" s="208">
        <v>5682000</v>
      </c>
      <c r="AR61" s="208"/>
      <c r="AS61" s="256" t="s">
        <v>1602</v>
      </c>
      <c r="AT61" s="209"/>
      <c r="AU61" s="209"/>
      <c r="AV61" s="209"/>
      <c r="AW61" s="209"/>
      <c r="AX61" s="209"/>
      <c r="AY61" s="209"/>
      <c r="AZ61" s="209"/>
      <c r="BA61" s="209"/>
      <c r="BB61" s="209"/>
      <c r="BC61" s="209"/>
      <c r="BD61" s="209"/>
      <c r="BE61" s="209"/>
      <c r="BF61" s="210"/>
      <c r="BG61" s="181">
        <v>11</v>
      </c>
    </row>
    <row r="62" spans="1:59" s="49" customFormat="1" ht="20.100000000000001" customHeight="1" x14ac:dyDescent="0.25">
      <c r="A62" s="181">
        <f>SUBTOTAL(3,$C$3:C62)</f>
        <v>60</v>
      </c>
      <c r="B62" s="272" t="s">
        <v>1749</v>
      </c>
      <c r="C62" s="273" t="s">
        <v>1578</v>
      </c>
      <c r="D62" s="273" t="s">
        <v>34</v>
      </c>
      <c r="E62" s="230">
        <v>33105</v>
      </c>
      <c r="F62" s="184">
        <f t="shared" si="49"/>
        <v>8</v>
      </c>
      <c r="G62" s="274" t="s">
        <v>1604</v>
      </c>
      <c r="H62" s="191">
        <v>44780</v>
      </c>
      <c r="I62" s="275" t="s">
        <v>37</v>
      </c>
      <c r="J62" s="276" t="s">
        <v>1605</v>
      </c>
      <c r="K62" s="276" t="s">
        <v>1606</v>
      </c>
      <c r="L62" s="182"/>
      <c r="M62" s="182"/>
      <c r="N62" s="190"/>
      <c r="O62" s="232" t="s">
        <v>1608</v>
      </c>
      <c r="P62" s="232"/>
      <c r="Q62" s="190" t="s">
        <v>1607</v>
      </c>
      <c r="R62" s="190" t="s">
        <v>71</v>
      </c>
      <c r="S62" s="277" t="s">
        <v>1609</v>
      </c>
      <c r="T62" s="190"/>
      <c r="U62" s="190" t="s">
        <v>771</v>
      </c>
      <c r="V62" s="275" t="s">
        <v>1152</v>
      </c>
      <c r="W62" s="232" t="s">
        <v>179</v>
      </c>
      <c r="X62" s="190"/>
      <c r="Y62" s="189" t="s">
        <v>585</v>
      </c>
      <c r="Z62" s="189" t="s">
        <v>1610</v>
      </c>
      <c r="AA62" s="278" t="s">
        <v>1644</v>
      </c>
      <c r="AB62" s="279">
        <v>45839</v>
      </c>
      <c r="AC62" s="191">
        <v>45901</v>
      </c>
      <c r="AD62" s="191">
        <v>45901</v>
      </c>
      <c r="AE62" s="220">
        <f t="shared" ca="1" si="48"/>
        <v>0</v>
      </c>
      <c r="AF62" s="220" t="s">
        <v>1647</v>
      </c>
      <c r="AG62" s="220"/>
      <c r="AH62" s="220" t="s">
        <v>1662</v>
      </c>
      <c r="AI62" s="220"/>
      <c r="AJ62" s="220"/>
      <c r="AK62" s="220"/>
      <c r="AL62" s="220"/>
      <c r="AM62" s="220"/>
      <c r="AN62" s="220"/>
      <c r="AO62" s="220"/>
      <c r="AP62" s="277">
        <v>7916595241</v>
      </c>
      <c r="AQ62" s="208">
        <v>5682000</v>
      </c>
      <c r="AR62" s="234"/>
      <c r="AS62" s="276" t="s">
        <v>1611</v>
      </c>
      <c r="AT62" s="190"/>
      <c r="AU62" s="190"/>
      <c r="AV62" s="190"/>
      <c r="AW62" s="190"/>
      <c r="AX62" s="190"/>
      <c r="AY62" s="190"/>
      <c r="AZ62" s="190"/>
      <c r="BA62" s="190"/>
      <c r="BB62" s="190"/>
      <c r="BC62" s="190"/>
      <c r="BD62" s="190"/>
      <c r="BE62" s="190"/>
      <c r="BF62" s="235"/>
      <c r="BG62" s="184">
        <v>12</v>
      </c>
    </row>
    <row r="63" spans="1:59" s="49" customFormat="1" ht="20.100000000000001" customHeight="1" x14ac:dyDescent="0.25">
      <c r="A63" s="181">
        <f>SUBTOTAL(3,$C$3:C63)</f>
        <v>61</v>
      </c>
      <c r="B63" s="272" t="s">
        <v>1757</v>
      </c>
      <c r="C63" s="273" t="s">
        <v>1579</v>
      </c>
      <c r="D63" s="273" t="s">
        <v>34</v>
      </c>
      <c r="E63" s="230">
        <v>34719</v>
      </c>
      <c r="F63" s="184">
        <f t="shared" si="49"/>
        <v>1</v>
      </c>
      <c r="G63" s="274" t="s">
        <v>1612</v>
      </c>
      <c r="H63" s="191">
        <v>44611</v>
      </c>
      <c r="I63" s="275" t="s">
        <v>37</v>
      </c>
      <c r="J63" s="276" t="s">
        <v>1856</v>
      </c>
      <c r="K63" s="276" t="s">
        <v>1613</v>
      </c>
      <c r="L63" s="182"/>
      <c r="M63" s="182"/>
      <c r="N63" s="190"/>
      <c r="O63" s="232" t="s">
        <v>1615</v>
      </c>
      <c r="P63" s="232"/>
      <c r="Q63" s="190" t="s">
        <v>1614</v>
      </c>
      <c r="R63" s="190" t="s">
        <v>706</v>
      </c>
      <c r="S63" s="277" t="s">
        <v>1616</v>
      </c>
      <c r="T63" s="190"/>
      <c r="U63" s="190" t="s">
        <v>1570</v>
      </c>
      <c r="V63" s="275" t="s">
        <v>1152</v>
      </c>
      <c r="W63" s="232" t="s">
        <v>179</v>
      </c>
      <c r="X63" s="190"/>
      <c r="Y63" s="189" t="s">
        <v>255</v>
      </c>
      <c r="Z63" s="189" t="s">
        <v>1617</v>
      </c>
      <c r="AA63" s="278" t="s">
        <v>1618</v>
      </c>
      <c r="AB63" s="279">
        <v>45839</v>
      </c>
      <c r="AC63" s="191">
        <v>45901</v>
      </c>
      <c r="AD63" s="191">
        <v>45901</v>
      </c>
      <c r="AE63" s="220">
        <f t="shared" ca="1" si="48"/>
        <v>0</v>
      </c>
      <c r="AF63" s="220" t="s">
        <v>1647</v>
      </c>
      <c r="AG63" s="220"/>
      <c r="AH63" s="220" t="s">
        <v>1662</v>
      </c>
      <c r="AI63" s="220"/>
      <c r="AJ63" s="220"/>
      <c r="AK63" s="220"/>
      <c r="AL63" s="220"/>
      <c r="AM63" s="220"/>
      <c r="AN63" s="220"/>
      <c r="AO63" s="220"/>
      <c r="AP63" s="277">
        <v>8924239953</v>
      </c>
      <c r="AQ63" s="208">
        <v>5682000</v>
      </c>
      <c r="AR63" s="234"/>
      <c r="AS63" s="276" t="s">
        <v>1619</v>
      </c>
      <c r="AT63" s="190"/>
      <c r="AU63" s="190"/>
      <c r="AV63" s="190"/>
      <c r="AW63" s="190"/>
      <c r="AX63" s="190"/>
      <c r="AY63" s="190"/>
      <c r="AZ63" s="190"/>
      <c r="BA63" s="190"/>
      <c r="BB63" s="190"/>
      <c r="BC63" s="190"/>
      <c r="BD63" s="190"/>
      <c r="BE63" s="190"/>
      <c r="BF63" s="235"/>
      <c r="BG63" s="184">
        <v>13</v>
      </c>
    </row>
    <row r="64" spans="1:59" ht="19.95" customHeight="1" x14ac:dyDescent="0.25">
      <c r="A64" s="181">
        <f>SUBTOTAL(3,$C$3:C64)</f>
        <v>62</v>
      </c>
      <c r="B64" s="221" t="s">
        <v>1771</v>
      </c>
      <c r="C64" s="242" t="s">
        <v>1595</v>
      </c>
      <c r="D64" s="242" t="s">
        <v>78</v>
      </c>
      <c r="E64" s="237">
        <v>37669</v>
      </c>
      <c r="F64" s="184">
        <f t="shared" ref="F64:F68" si="50">MONTH(E64)</f>
        <v>2</v>
      </c>
      <c r="G64" s="255" t="s">
        <v>1637</v>
      </c>
      <c r="H64" s="191">
        <v>45162</v>
      </c>
      <c r="I64" s="226" t="s">
        <v>37</v>
      </c>
      <c r="J64" s="256" t="s">
        <v>1790</v>
      </c>
      <c r="K64" s="256" t="s">
        <v>1793</v>
      </c>
      <c r="L64" s="196" t="s">
        <v>1852</v>
      </c>
      <c r="M64" s="196"/>
      <c r="N64" s="182" t="s">
        <v>41</v>
      </c>
      <c r="O64" s="253" t="s">
        <v>1640</v>
      </c>
      <c r="P64" s="253"/>
      <c r="Q64" s="209" t="s">
        <v>1638</v>
      </c>
      <c r="R64" s="209" t="s">
        <v>706</v>
      </c>
      <c r="S64" s="257" t="s">
        <v>1639</v>
      </c>
      <c r="T64" s="209"/>
      <c r="U64" s="209" t="s">
        <v>1680</v>
      </c>
      <c r="V64" s="226" t="s">
        <v>1152</v>
      </c>
      <c r="W64" s="253" t="s">
        <v>89</v>
      </c>
      <c r="X64" s="199" t="s">
        <v>1645</v>
      </c>
      <c r="Y64" s="260" t="s">
        <v>140</v>
      </c>
      <c r="Z64" s="260" t="s">
        <v>1641</v>
      </c>
      <c r="AA64" s="261" t="s">
        <v>1642</v>
      </c>
      <c r="AB64" s="239">
        <v>45905</v>
      </c>
      <c r="AC64" s="192">
        <v>45931</v>
      </c>
      <c r="AD64" s="192">
        <v>45931</v>
      </c>
      <c r="AE64" s="193">
        <f t="shared" ref="AE64" ca="1" si="51">DATEDIF(AC64,$BF$2,"y")</f>
        <v>0</v>
      </c>
      <c r="AF64" s="193" t="s">
        <v>1791</v>
      </c>
      <c r="AG64" s="193"/>
      <c r="AH64" s="193" t="s">
        <v>1662</v>
      </c>
      <c r="AI64" s="193"/>
      <c r="AJ64" s="193"/>
      <c r="AK64" s="193"/>
      <c r="AL64" s="193"/>
      <c r="AM64" s="193"/>
      <c r="AN64" s="193"/>
      <c r="AO64" s="193"/>
      <c r="AP64" s="257">
        <v>0</v>
      </c>
      <c r="AQ64" s="208">
        <v>5682000</v>
      </c>
      <c r="AR64" s="208"/>
      <c r="AS64" s="256" t="s">
        <v>1643</v>
      </c>
      <c r="AT64" s="209"/>
      <c r="AU64" s="209"/>
      <c r="AV64" s="209"/>
      <c r="AW64" s="209"/>
      <c r="AX64" s="209"/>
      <c r="AY64" s="209"/>
      <c r="AZ64" s="209"/>
      <c r="BA64" s="209"/>
      <c r="BB64" s="209"/>
      <c r="BC64" s="209"/>
      <c r="BD64" s="209"/>
      <c r="BE64" s="209"/>
      <c r="BF64" s="210"/>
      <c r="BG64" s="181"/>
    </row>
    <row r="65" spans="1:59" ht="21.6" customHeight="1" x14ac:dyDescent="0.25">
      <c r="A65" s="181">
        <f>SUBTOTAL(3,$C$3:C65)</f>
        <v>63</v>
      </c>
      <c r="B65" s="221" t="s">
        <v>1772</v>
      </c>
      <c r="C65" s="324" t="s">
        <v>1645</v>
      </c>
      <c r="D65" s="324" t="s">
        <v>78</v>
      </c>
      <c r="E65" s="325">
        <v>33148</v>
      </c>
      <c r="F65" s="326">
        <f t="shared" si="50"/>
        <v>10</v>
      </c>
      <c r="G65" s="327" t="s">
        <v>1850</v>
      </c>
      <c r="H65" s="328">
        <v>44387</v>
      </c>
      <c r="I65" s="329" t="s">
        <v>37</v>
      </c>
      <c r="J65" s="330" t="s">
        <v>1853</v>
      </c>
      <c r="K65" s="330" t="s">
        <v>1854</v>
      </c>
      <c r="L65" s="331" t="s">
        <v>1851</v>
      </c>
      <c r="M65" s="331"/>
      <c r="N65" s="332" t="s">
        <v>41</v>
      </c>
      <c r="O65" s="333" t="s">
        <v>1831</v>
      </c>
      <c r="P65" s="333"/>
      <c r="Q65" s="334"/>
      <c r="R65" s="334"/>
      <c r="S65" s="335"/>
      <c r="T65" s="334"/>
      <c r="U65" s="334" t="s">
        <v>1681</v>
      </c>
      <c r="V65" s="336" t="s">
        <v>1679</v>
      </c>
      <c r="W65" s="333" t="s">
        <v>89</v>
      </c>
      <c r="X65" s="336" t="s">
        <v>46</v>
      </c>
      <c r="Y65" s="337" t="s">
        <v>140</v>
      </c>
      <c r="Z65" s="337" t="s">
        <v>1842</v>
      </c>
      <c r="AA65" s="338"/>
      <c r="AB65" s="339">
        <v>45915</v>
      </c>
      <c r="AC65" s="340">
        <v>45945</v>
      </c>
      <c r="AD65" s="340">
        <v>45945</v>
      </c>
      <c r="AE65" s="341">
        <f t="shared" ref="AE65:AE66" ca="1" si="52">DATEDIF(AC65,$BF$2,"y")</f>
        <v>0</v>
      </c>
      <c r="AF65" s="341" t="s">
        <v>1791</v>
      </c>
      <c r="AG65" s="341"/>
      <c r="AH65" s="341" t="s">
        <v>1662</v>
      </c>
      <c r="AI65" s="341"/>
      <c r="AJ65" s="341"/>
      <c r="AK65" s="341"/>
      <c r="AL65" s="341"/>
      <c r="AM65" s="341"/>
      <c r="AN65" s="341"/>
      <c r="AO65" s="341"/>
      <c r="AP65" s="335"/>
      <c r="AQ65" s="342">
        <v>7000000</v>
      </c>
      <c r="AR65" s="342"/>
      <c r="AS65" s="330"/>
      <c r="AT65" s="334"/>
      <c r="AU65" s="334"/>
      <c r="AV65" s="334"/>
      <c r="AW65" s="334"/>
      <c r="AX65" s="334"/>
      <c r="AY65" s="334"/>
      <c r="AZ65" s="334"/>
      <c r="BA65" s="334"/>
      <c r="BB65" s="334"/>
      <c r="BC65" s="334"/>
      <c r="BD65" s="334"/>
      <c r="BE65" s="334"/>
      <c r="BF65" s="210"/>
      <c r="BG65" s="343"/>
    </row>
    <row r="66" spans="1:59" ht="21.6" customHeight="1" x14ac:dyDescent="0.25">
      <c r="A66" s="181">
        <f>SUBTOTAL(3,$C$3:C66)</f>
        <v>64</v>
      </c>
      <c r="B66" s="193" t="s">
        <v>1801</v>
      </c>
      <c r="C66" s="209" t="s">
        <v>1798</v>
      </c>
      <c r="D66" s="209" t="s">
        <v>34</v>
      </c>
      <c r="E66" s="237">
        <v>31859</v>
      </c>
      <c r="F66" s="184">
        <f t="shared" si="50"/>
        <v>3</v>
      </c>
      <c r="G66" s="255" t="s">
        <v>1809</v>
      </c>
      <c r="H66" s="191">
        <v>44387</v>
      </c>
      <c r="I66" s="226" t="s">
        <v>37</v>
      </c>
      <c r="J66" s="209" t="s">
        <v>1810</v>
      </c>
      <c r="K66" s="209" t="s">
        <v>1811</v>
      </c>
      <c r="L66" s="196"/>
      <c r="M66" s="196"/>
      <c r="N66" s="209"/>
      <c r="O66" s="323" t="s">
        <v>1812</v>
      </c>
      <c r="P66" s="323"/>
      <c r="Q66" s="209"/>
      <c r="R66" s="209"/>
      <c r="S66" s="203"/>
      <c r="T66" s="236"/>
      <c r="U66" s="209" t="s">
        <v>395</v>
      </c>
      <c r="V66" s="209" t="s">
        <v>1679</v>
      </c>
      <c r="W66" s="232" t="s">
        <v>179</v>
      </c>
      <c r="X66" s="209" t="s">
        <v>1800</v>
      </c>
      <c r="Y66" s="337" t="s">
        <v>140</v>
      </c>
      <c r="Z66" s="196"/>
      <c r="AA66" s="209"/>
      <c r="AB66" s="192">
        <v>46038</v>
      </c>
      <c r="AC66" s="192">
        <v>46098</v>
      </c>
      <c r="AD66" s="192">
        <v>46098</v>
      </c>
      <c r="AE66" s="193">
        <f t="shared" ca="1" si="52"/>
        <v>0</v>
      </c>
      <c r="AF66" s="193" t="s">
        <v>1819</v>
      </c>
      <c r="AG66" s="193"/>
      <c r="AH66" s="193" t="s">
        <v>1662</v>
      </c>
      <c r="AI66" s="193"/>
      <c r="AJ66" s="193"/>
      <c r="AK66" s="193"/>
      <c r="AL66" s="193"/>
      <c r="AM66" s="193"/>
      <c r="AN66" s="193"/>
      <c r="AO66" s="193"/>
      <c r="AP66" s="203" t="s">
        <v>1820</v>
      </c>
      <c r="AQ66" s="208">
        <v>5682000</v>
      </c>
      <c r="AR66" s="208"/>
      <c r="AS66" s="208"/>
      <c r="AT66" s="209"/>
      <c r="AU66" s="209"/>
      <c r="AV66" s="209"/>
      <c r="AW66" s="209"/>
      <c r="AX66" s="209"/>
      <c r="AY66" s="209"/>
      <c r="AZ66" s="209"/>
      <c r="BA66" s="209"/>
      <c r="BB66" s="209"/>
      <c r="BC66" s="209"/>
      <c r="BD66" s="209"/>
      <c r="BE66" s="209"/>
      <c r="BF66" s="209"/>
      <c r="BG66" s="193"/>
    </row>
    <row r="67" spans="1:59" ht="21.6" customHeight="1" x14ac:dyDescent="0.25">
      <c r="A67" s="343">
        <f>SUBTOTAL(3,$C$3:C67)</f>
        <v>65</v>
      </c>
      <c r="B67" s="341" t="s">
        <v>1802</v>
      </c>
      <c r="C67" s="334" t="s">
        <v>1799</v>
      </c>
      <c r="D67" s="334" t="s">
        <v>34</v>
      </c>
      <c r="E67" s="325">
        <v>36581</v>
      </c>
      <c r="F67" s="326">
        <f t="shared" si="50"/>
        <v>2</v>
      </c>
      <c r="G67" s="327" t="s">
        <v>1823</v>
      </c>
      <c r="H67" s="328">
        <v>45765</v>
      </c>
      <c r="I67" s="329" t="s">
        <v>37</v>
      </c>
      <c r="J67" s="334" t="s">
        <v>1821</v>
      </c>
      <c r="K67" s="334" t="s">
        <v>1822</v>
      </c>
      <c r="L67" s="331" t="s">
        <v>1803</v>
      </c>
      <c r="M67" s="331"/>
      <c r="N67" s="334" t="s">
        <v>41</v>
      </c>
      <c r="O67" s="350" t="s">
        <v>1838</v>
      </c>
      <c r="P67" s="350"/>
      <c r="Q67" s="334"/>
      <c r="R67" s="334"/>
      <c r="S67" s="351"/>
      <c r="T67" s="352"/>
      <c r="U67" s="334" t="s">
        <v>878</v>
      </c>
      <c r="V67" s="334" t="s">
        <v>1152</v>
      </c>
      <c r="W67" s="333" t="s">
        <v>89</v>
      </c>
      <c r="X67" s="334" t="s">
        <v>1645</v>
      </c>
      <c r="Y67" s="337"/>
      <c r="Z67" s="331"/>
      <c r="AA67" s="334"/>
      <c r="AB67" s="340">
        <v>46048</v>
      </c>
      <c r="AC67" s="340">
        <v>46108</v>
      </c>
      <c r="AD67" s="340">
        <v>46108</v>
      </c>
      <c r="AE67" s="341">
        <f ca="1">DATEDIF(AC67,$BF$2,"y")</f>
        <v>0</v>
      </c>
      <c r="AF67" s="341" t="s">
        <v>1819</v>
      </c>
      <c r="AG67" s="341"/>
      <c r="AH67" s="341" t="s">
        <v>1849</v>
      </c>
      <c r="AI67" s="341"/>
      <c r="AJ67" s="341"/>
      <c r="AK67" s="341"/>
      <c r="AL67" s="341"/>
      <c r="AM67" s="341"/>
      <c r="AN67" s="341"/>
      <c r="AO67" s="341"/>
      <c r="AP67" s="351" t="s">
        <v>1824</v>
      </c>
      <c r="AQ67" s="342">
        <v>5682000</v>
      </c>
      <c r="AR67" s="342"/>
      <c r="AS67" s="342"/>
      <c r="AT67" s="334"/>
      <c r="AU67" s="334"/>
      <c r="AV67" s="334"/>
      <c r="AW67" s="334"/>
      <c r="AX67" s="334"/>
      <c r="AY67" s="334"/>
      <c r="AZ67" s="334"/>
      <c r="BA67" s="334"/>
      <c r="BB67" s="334"/>
      <c r="BC67" s="334"/>
      <c r="BD67" s="334"/>
      <c r="BE67" s="334"/>
      <c r="BF67" s="334"/>
      <c r="BG67" s="341"/>
    </row>
    <row r="68" spans="1:59" ht="19.2" customHeight="1" x14ac:dyDescent="0.25">
      <c r="A68" s="181">
        <f>SUBTOTAL(3,$C$3:C68)</f>
        <v>66</v>
      </c>
      <c r="B68" s="193" t="s">
        <v>1834</v>
      </c>
      <c r="C68" s="209" t="s">
        <v>1835</v>
      </c>
      <c r="D68" s="209" t="s">
        <v>34</v>
      </c>
      <c r="E68" s="237">
        <v>29040</v>
      </c>
      <c r="F68" s="184">
        <f t="shared" si="50"/>
        <v>7</v>
      </c>
      <c r="G68" s="255" t="s">
        <v>1855</v>
      </c>
      <c r="H68" s="191">
        <v>44808</v>
      </c>
      <c r="I68" s="329" t="s">
        <v>37</v>
      </c>
      <c r="J68" s="209" t="s">
        <v>1839</v>
      </c>
      <c r="K68" s="209" t="s">
        <v>1840</v>
      </c>
      <c r="L68" s="196" t="s">
        <v>1841</v>
      </c>
      <c r="M68" s="196" t="s">
        <v>68</v>
      </c>
      <c r="N68" s="209" t="s">
        <v>41</v>
      </c>
      <c r="O68" s="323" t="s">
        <v>1837</v>
      </c>
      <c r="P68" s="323"/>
      <c r="Q68" s="209"/>
      <c r="R68" s="209"/>
      <c r="S68" s="203"/>
      <c r="T68" s="236"/>
      <c r="U68" s="209" t="s">
        <v>1836</v>
      </c>
      <c r="V68" s="190" t="s">
        <v>1677</v>
      </c>
      <c r="W68" s="182" t="s">
        <v>45</v>
      </c>
      <c r="X68" s="209" t="s">
        <v>46</v>
      </c>
      <c r="Y68" s="260" t="s">
        <v>140</v>
      </c>
      <c r="Z68" s="196" t="s">
        <v>1842</v>
      </c>
      <c r="AA68" s="209"/>
      <c r="AB68" s="192">
        <v>46132</v>
      </c>
      <c r="AC68" s="192">
        <v>46132</v>
      </c>
      <c r="AD68" s="192">
        <v>46132</v>
      </c>
      <c r="AE68" s="193">
        <f ca="1">DATEDIF(AC68,$BF$2,"y")</f>
        <v>0</v>
      </c>
      <c r="AF68" s="193"/>
      <c r="AG68" s="193"/>
      <c r="AH68" s="341" t="s">
        <v>1849</v>
      </c>
      <c r="AI68" s="193"/>
      <c r="AJ68" s="193"/>
      <c r="AK68" s="193"/>
      <c r="AL68" s="193"/>
      <c r="AM68" s="193"/>
      <c r="AN68" s="193"/>
      <c r="AO68" s="193"/>
      <c r="AP68" s="203"/>
      <c r="AQ68" s="208"/>
      <c r="AR68" s="208"/>
      <c r="AS68" s="208"/>
      <c r="AT68" s="209"/>
      <c r="AU68" s="209"/>
      <c r="AV68" s="209"/>
      <c r="AW68" s="209"/>
      <c r="AX68" s="209"/>
      <c r="AY68" s="209"/>
      <c r="AZ68" s="209"/>
      <c r="BA68" s="209"/>
      <c r="BB68" s="209"/>
      <c r="BC68" s="209"/>
      <c r="BD68" s="209"/>
      <c r="BE68" s="209"/>
      <c r="BF68" s="209"/>
      <c r="BG68" s="193"/>
    </row>
    <row r="69" spans="1:59" ht="15.75" customHeight="1" x14ac:dyDescent="0.25">
      <c r="A69" s="262"/>
      <c r="B69" s="262"/>
      <c r="C69" s="210"/>
      <c r="D69" s="210"/>
      <c r="E69" s="263"/>
      <c r="F69" s="264"/>
      <c r="G69" s="265"/>
      <c r="H69" s="266"/>
      <c r="I69" s="267"/>
      <c r="J69" s="210"/>
      <c r="K69" s="210"/>
      <c r="L69" s="197"/>
      <c r="M69" s="197"/>
      <c r="N69" s="210"/>
      <c r="O69" s="268"/>
      <c r="P69" s="268"/>
      <c r="Q69" s="210"/>
      <c r="R69" s="210"/>
      <c r="S69" s="269"/>
      <c r="T69" s="270"/>
      <c r="U69" s="210"/>
      <c r="V69" s="210"/>
      <c r="W69" s="210"/>
      <c r="X69" s="210"/>
      <c r="Y69" s="197"/>
      <c r="Z69" s="197"/>
      <c r="AA69" s="210"/>
      <c r="AB69" s="262"/>
      <c r="AC69" s="262"/>
      <c r="AD69" s="271"/>
      <c r="AE69" s="262"/>
      <c r="AF69" s="262"/>
      <c r="AG69" s="262"/>
      <c r="AH69" s="262"/>
      <c r="AI69" s="262"/>
      <c r="AJ69" s="262"/>
      <c r="AK69" s="262"/>
      <c r="AL69" s="262"/>
      <c r="AM69" s="262"/>
      <c r="AN69" s="262"/>
      <c r="AO69" s="262"/>
      <c r="AP69" s="269"/>
      <c r="AQ69" s="280"/>
      <c r="AR69" s="280"/>
      <c r="AS69" s="280"/>
      <c r="AT69" s="210"/>
      <c r="AU69" s="210"/>
      <c r="AV69" s="210"/>
      <c r="AW69" s="210"/>
      <c r="AX69" s="210"/>
      <c r="AY69" s="210"/>
      <c r="AZ69" s="210"/>
      <c r="BA69" s="210"/>
      <c r="BB69" s="210"/>
      <c r="BC69" s="210"/>
      <c r="BD69" s="210"/>
      <c r="BE69" s="210"/>
      <c r="BF69" s="210"/>
      <c r="BG69" s="262"/>
    </row>
    <row r="70" spans="1:59" ht="15.75" customHeight="1" x14ac:dyDescent="0.25">
      <c r="A70" s="262"/>
      <c r="B70" s="262"/>
      <c r="C70" s="210"/>
      <c r="D70" s="210"/>
      <c r="E70" s="263"/>
      <c r="F70" s="264"/>
      <c r="G70" s="265"/>
      <c r="H70" s="266"/>
      <c r="I70" s="267"/>
      <c r="J70" s="210"/>
      <c r="K70" s="210"/>
      <c r="L70" s="197"/>
      <c r="M70" s="197"/>
      <c r="N70" s="210"/>
      <c r="O70" s="268"/>
      <c r="P70" s="268"/>
      <c r="Q70" s="210"/>
      <c r="R70" s="210"/>
      <c r="S70" s="269"/>
      <c r="T70" s="270"/>
      <c r="U70" s="210"/>
      <c r="V70" s="210"/>
      <c r="W70" s="210"/>
      <c r="X70" s="210"/>
      <c r="Y70" s="197"/>
      <c r="Z70" s="197"/>
      <c r="AA70" s="210"/>
      <c r="AB70" s="262"/>
      <c r="AC70" s="262"/>
      <c r="AD70" s="271"/>
      <c r="AE70" s="262"/>
      <c r="AF70" s="262"/>
      <c r="AG70" s="262"/>
      <c r="AH70" s="262"/>
      <c r="AI70" s="262"/>
      <c r="AJ70" s="262"/>
      <c r="AK70" s="262"/>
      <c r="AL70" s="262"/>
      <c r="AM70" s="262"/>
      <c r="AN70" s="262"/>
      <c r="AO70" s="262"/>
      <c r="AP70" s="269"/>
      <c r="AQ70" s="280"/>
      <c r="AR70" s="280"/>
      <c r="AS70" s="280"/>
      <c r="AT70" s="210"/>
      <c r="AU70" s="210"/>
      <c r="AV70" s="210"/>
      <c r="AW70" s="210"/>
      <c r="AX70" s="210"/>
      <c r="AY70" s="210"/>
      <c r="AZ70" s="210"/>
      <c r="BA70" s="210"/>
      <c r="BB70" s="210"/>
      <c r="BC70" s="210"/>
      <c r="BD70" s="210"/>
      <c r="BE70" s="210"/>
      <c r="BF70" s="210"/>
      <c r="BG70" s="262"/>
    </row>
    <row r="71" spans="1:59" ht="15.75" customHeight="1" x14ac:dyDescent="0.25">
      <c r="A71" s="262"/>
      <c r="B71" s="262"/>
      <c r="C71" s="210"/>
      <c r="D71" s="210"/>
      <c r="E71" s="263"/>
      <c r="F71" s="264"/>
      <c r="G71" s="265"/>
      <c r="H71" s="266"/>
      <c r="I71" s="267"/>
      <c r="J71" s="210"/>
      <c r="K71" s="210"/>
      <c r="L71" s="197"/>
      <c r="M71" s="197"/>
      <c r="N71" s="210"/>
      <c r="O71" s="268"/>
      <c r="P71" s="268"/>
      <c r="Q71" s="210"/>
      <c r="R71" s="210"/>
      <c r="S71" s="269"/>
      <c r="T71" s="270"/>
      <c r="U71" s="210"/>
      <c r="V71" s="210"/>
      <c r="W71" s="210"/>
      <c r="X71" s="210"/>
      <c r="Y71" s="197"/>
      <c r="Z71" s="197"/>
      <c r="AA71" s="210"/>
      <c r="AB71" s="262"/>
      <c r="AC71" s="262"/>
      <c r="AD71" s="271"/>
      <c r="AE71" s="262"/>
      <c r="AF71" s="262"/>
      <c r="AG71" s="262"/>
      <c r="AH71" s="262"/>
      <c r="AI71" s="262"/>
      <c r="AJ71" s="262"/>
      <c r="AK71" s="262"/>
      <c r="AL71" s="262"/>
      <c r="AM71" s="262"/>
      <c r="AN71" s="262"/>
      <c r="AO71" s="262"/>
      <c r="AP71" s="269"/>
      <c r="AQ71" s="280"/>
      <c r="AR71" s="280"/>
      <c r="AS71" s="280"/>
      <c r="AT71" s="210"/>
      <c r="AU71" s="210"/>
      <c r="AV71" s="210"/>
      <c r="AW71" s="210"/>
      <c r="AX71" s="210"/>
      <c r="AY71" s="210"/>
      <c r="AZ71" s="210"/>
      <c r="BA71" s="210"/>
      <c r="BB71" s="210"/>
      <c r="BC71" s="210"/>
      <c r="BD71" s="210"/>
      <c r="BE71" s="210"/>
      <c r="BF71" s="210"/>
      <c r="BG71" s="262"/>
    </row>
    <row r="72" spans="1:59" ht="15.75" customHeight="1" x14ac:dyDescent="0.25">
      <c r="A72" s="262"/>
      <c r="B72" s="262"/>
      <c r="C72" s="210"/>
      <c r="D72" s="210"/>
      <c r="E72" s="263"/>
      <c r="F72" s="264"/>
      <c r="G72" s="265"/>
      <c r="H72" s="266"/>
      <c r="I72" s="267"/>
      <c r="J72" s="210"/>
      <c r="K72" s="210"/>
      <c r="L72" s="197"/>
      <c r="M72" s="197"/>
      <c r="N72" s="210"/>
      <c r="O72" s="268"/>
      <c r="P72" s="268"/>
      <c r="Q72" s="210"/>
      <c r="R72" s="210"/>
      <c r="S72" s="269"/>
      <c r="T72" s="270"/>
      <c r="U72" s="210"/>
      <c r="V72" s="210"/>
      <c r="W72" s="210"/>
      <c r="X72" s="210"/>
      <c r="Y72" s="197"/>
      <c r="Z72" s="197"/>
      <c r="AA72" s="210"/>
      <c r="AB72" s="262"/>
      <c r="AC72" s="262"/>
      <c r="AD72" s="271"/>
      <c r="AE72" s="262"/>
      <c r="AF72" s="262"/>
      <c r="AG72" s="262"/>
      <c r="AH72" s="262"/>
      <c r="AI72" s="262"/>
      <c r="AJ72" s="262"/>
      <c r="AK72" s="262"/>
      <c r="AL72" s="262"/>
      <c r="AM72" s="262"/>
      <c r="AN72" s="262"/>
      <c r="AO72" s="262"/>
      <c r="AP72" s="269"/>
      <c r="AQ72" s="280"/>
      <c r="AR72" s="280"/>
      <c r="AS72" s="280"/>
      <c r="AT72" s="210"/>
      <c r="AU72" s="210"/>
      <c r="AV72" s="210"/>
      <c r="AW72" s="210"/>
      <c r="AX72" s="210"/>
      <c r="AY72" s="210"/>
      <c r="AZ72" s="210"/>
      <c r="BA72" s="210"/>
      <c r="BB72" s="210"/>
      <c r="BC72" s="210"/>
      <c r="BD72" s="210"/>
      <c r="BE72" s="210"/>
      <c r="BF72" s="210"/>
      <c r="BG72" s="262"/>
    </row>
    <row r="73" spans="1:59" ht="15.75" customHeight="1" x14ac:dyDescent="0.25">
      <c r="A73" s="262"/>
      <c r="B73" s="262"/>
      <c r="C73" s="210"/>
      <c r="D73" s="210"/>
      <c r="E73" s="263"/>
      <c r="F73" s="264"/>
      <c r="G73" s="265"/>
      <c r="H73" s="266"/>
      <c r="I73" s="267"/>
      <c r="J73" s="210"/>
      <c r="K73" s="210"/>
      <c r="L73" s="197"/>
      <c r="M73" s="197"/>
      <c r="N73" s="210"/>
      <c r="O73" s="268"/>
      <c r="P73" s="268"/>
      <c r="Q73" s="210"/>
      <c r="R73" s="210"/>
      <c r="S73" s="269"/>
      <c r="T73" s="270"/>
      <c r="U73" s="210"/>
      <c r="V73" s="210"/>
      <c r="W73" s="210"/>
      <c r="X73" s="210"/>
      <c r="Y73" s="197"/>
      <c r="Z73" s="197"/>
      <c r="AA73" s="210"/>
      <c r="AB73" s="262"/>
      <c r="AC73" s="262"/>
      <c r="AD73" s="271"/>
      <c r="AE73" s="262"/>
      <c r="AF73" s="262"/>
      <c r="AG73" s="262"/>
      <c r="AH73" s="262"/>
      <c r="AI73" s="262"/>
      <c r="AJ73" s="262"/>
      <c r="AK73" s="262"/>
      <c r="AL73" s="262"/>
      <c r="AM73" s="262"/>
      <c r="AN73" s="262"/>
      <c r="AO73" s="262"/>
      <c r="AP73" s="269"/>
      <c r="AQ73" s="280"/>
      <c r="AR73" s="280"/>
      <c r="AS73" s="280"/>
      <c r="AT73" s="210"/>
      <c r="AU73" s="210"/>
      <c r="AV73" s="210"/>
      <c r="AW73" s="210"/>
      <c r="AX73" s="210"/>
      <c r="AY73" s="210"/>
      <c r="AZ73" s="210"/>
      <c r="BA73" s="210"/>
      <c r="BB73" s="210"/>
      <c r="BC73" s="210"/>
      <c r="BD73" s="210"/>
      <c r="BE73" s="210"/>
      <c r="BF73" s="210"/>
      <c r="BG73" s="262"/>
    </row>
    <row r="74" spans="1:59" ht="15.75" customHeight="1" x14ac:dyDescent="0.25">
      <c r="A74" s="262"/>
      <c r="B74" s="262"/>
      <c r="C74" s="210"/>
      <c r="D74" s="210"/>
      <c r="E74" s="263"/>
      <c r="F74" s="264"/>
      <c r="G74" s="265"/>
      <c r="H74" s="266"/>
      <c r="I74" s="267"/>
      <c r="J74" s="210"/>
      <c r="K74" s="210"/>
      <c r="L74" s="197"/>
      <c r="M74" s="197"/>
      <c r="N74" s="210"/>
      <c r="O74" s="268"/>
      <c r="P74" s="268"/>
      <c r="Q74" s="210"/>
      <c r="R74" s="210"/>
      <c r="S74" s="269"/>
      <c r="T74" s="270"/>
      <c r="U74" s="210"/>
      <c r="V74" s="210"/>
      <c r="W74" s="210"/>
      <c r="X74" s="210"/>
      <c r="Y74" s="197"/>
      <c r="Z74" s="197"/>
      <c r="AA74" s="210"/>
      <c r="AB74" s="262"/>
      <c r="AC74" s="262"/>
      <c r="AD74" s="271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9"/>
      <c r="AQ74" s="280"/>
      <c r="AR74" s="280"/>
      <c r="AS74" s="280"/>
      <c r="AT74" s="210"/>
      <c r="AU74" s="210"/>
      <c r="AV74" s="210"/>
      <c r="AW74" s="210"/>
      <c r="AX74" s="210"/>
      <c r="AY74" s="210"/>
      <c r="AZ74" s="210"/>
      <c r="BA74" s="210"/>
      <c r="BB74" s="210"/>
      <c r="BC74" s="210"/>
      <c r="BD74" s="210"/>
      <c r="BE74" s="210"/>
      <c r="BF74" s="210"/>
      <c r="BG74" s="262"/>
    </row>
    <row r="75" spans="1:59" ht="15.75" customHeight="1" x14ac:dyDescent="0.25">
      <c r="A75" s="262"/>
      <c r="B75" s="262"/>
      <c r="C75" s="210"/>
      <c r="D75" s="210"/>
      <c r="E75" s="263"/>
      <c r="F75" s="264"/>
      <c r="G75" s="265"/>
      <c r="H75" s="266"/>
      <c r="I75" s="267"/>
      <c r="J75" s="210"/>
      <c r="K75" s="210"/>
      <c r="L75" s="197"/>
      <c r="M75" s="197"/>
      <c r="N75" s="210"/>
      <c r="O75" s="268"/>
      <c r="P75" s="268"/>
      <c r="Q75" s="210"/>
      <c r="R75" s="210"/>
      <c r="S75" s="269"/>
      <c r="T75" s="270"/>
      <c r="U75" s="210"/>
      <c r="V75" s="210"/>
      <c r="W75" s="210"/>
      <c r="X75" s="210"/>
      <c r="Y75" s="197"/>
      <c r="Z75" s="197"/>
      <c r="AA75" s="210"/>
      <c r="AB75" s="262"/>
      <c r="AC75" s="262"/>
      <c r="AD75" s="271"/>
      <c r="AE75" s="262"/>
      <c r="AF75" s="262"/>
      <c r="AG75" s="262"/>
      <c r="AH75" s="262"/>
      <c r="AI75" s="262"/>
      <c r="AJ75" s="262"/>
      <c r="AK75" s="262"/>
      <c r="AL75" s="262"/>
      <c r="AM75" s="262"/>
      <c r="AN75" s="262"/>
      <c r="AO75" s="262"/>
      <c r="AP75" s="269"/>
      <c r="AQ75" s="280"/>
      <c r="AR75" s="280"/>
      <c r="AS75" s="280"/>
      <c r="AT75" s="210"/>
      <c r="AU75" s="210"/>
      <c r="AV75" s="210"/>
      <c r="AW75" s="210"/>
      <c r="AX75" s="210"/>
      <c r="AY75" s="210"/>
      <c r="AZ75" s="210"/>
      <c r="BA75" s="210"/>
      <c r="BB75" s="210"/>
      <c r="BC75" s="210"/>
      <c r="BD75" s="210"/>
      <c r="BE75" s="210"/>
      <c r="BF75" s="210"/>
      <c r="BG75" s="262"/>
    </row>
    <row r="76" spans="1:59" ht="15.75" customHeight="1" x14ac:dyDescent="0.25">
      <c r="A76" s="262"/>
      <c r="B76" s="262"/>
      <c r="C76" s="210"/>
      <c r="D76" s="210"/>
      <c r="E76" s="263"/>
      <c r="F76" s="264"/>
      <c r="G76" s="265"/>
      <c r="H76" s="266"/>
      <c r="I76" s="267"/>
      <c r="J76" s="210"/>
      <c r="K76" s="210"/>
      <c r="L76" s="197"/>
      <c r="M76" s="197"/>
      <c r="N76" s="210"/>
      <c r="O76" s="268"/>
      <c r="P76" s="268"/>
      <c r="Q76" s="210"/>
      <c r="R76" s="210"/>
      <c r="S76" s="269"/>
      <c r="T76" s="270"/>
      <c r="U76" s="210"/>
      <c r="V76" s="210"/>
      <c r="W76" s="210"/>
      <c r="X76" s="210"/>
      <c r="Y76" s="197"/>
      <c r="Z76" s="197"/>
      <c r="AA76" s="210"/>
      <c r="AB76" s="262"/>
      <c r="AC76" s="262"/>
      <c r="AD76" s="271"/>
      <c r="AE76" s="262"/>
      <c r="AF76" s="262"/>
      <c r="AG76" s="262"/>
      <c r="AH76" s="262"/>
      <c r="AI76" s="262"/>
      <c r="AJ76" s="262"/>
      <c r="AK76" s="262"/>
      <c r="AL76" s="262"/>
      <c r="AM76" s="262"/>
      <c r="AN76" s="262"/>
      <c r="AO76" s="262"/>
      <c r="AP76" s="269"/>
      <c r="AQ76" s="280"/>
      <c r="AR76" s="280"/>
      <c r="AS76" s="280"/>
      <c r="AT76" s="210"/>
      <c r="AU76" s="210"/>
      <c r="AV76" s="210"/>
      <c r="AW76" s="210"/>
      <c r="AX76" s="210"/>
      <c r="AY76" s="210"/>
      <c r="AZ76" s="210"/>
      <c r="BA76" s="210"/>
      <c r="BB76" s="210"/>
      <c r="BC76" s="210"/>
      <c r="BD76" s="210"/>
      <c r="BE76" s="210"/>
      <c r="BF76" s="210"/>
      <c r="BG76" s="262"/>
    </row>
    <row r="77" spans="1:59" ht="15.75" customHeight="1" x14ac:dyDescent="0.25">
      <c r="A77" s="262"/>
      <c r="B77" s="262"/>
      <c r="C77" s="210"/>
      <c r="D77" s="210"/>
      <c r="E77" s="263"/>
      <c r="F77" s="264"/>
      <c r="G77" s="265"/>
      <c r="H77" s="266"/>
      <c r="I77" s="267"/>
      <c r="J77" s="210"/>
      <c r="K77" s="210"/>
      <c r="L77" s="197"/>
      <c r="M77" s="197"/>
      <c r="N77" s="210"/>
      <c r="O77" s="268"/>
      <c r="P77" s="268"/>
      <c r="Q77" s="210"/>
      <c r="R77" s="210"/>
      <c r="S77" s="269"/>
      <c r="T77" s="270"/>
      <c r="U77" s="210"/>
      <c r="V77" s="210"/>
      <c r="W77" s="210"/>
      <c r="X77" s="210"/>
      <c r="Y77" s="197"/>
      <c r="Z77" s="197"/>
      <c r="AA77" s="210"/>
      <c r="AB77" s="262"/>
      <c r="AC77" s="262"/>
      <c r="AD77" s="271"/>
      <c r="AE77" s="262"/>
      <c r="AF77" s="262"/>
      <c r="AG77" s="262"/>
      <c r="AH77" s="262"/>
      <c r="AI77" s="262"/>
      <c r="AJ77" s="262"/>
      <c r="AK77" s="262"/>
      <c r="AL77" s="262"/>
      <c r="AM77" s="262"/>
      <c r="AN77" s="262"/>
      <c r="AO77" s="262"/>
      <c r="AP77" s="269"/>
      <c r="AQ77" s="280"/>
      <c r="AR77" s="280"/>
      <c r="AS77" s="280"/>
      <c r="AT77" s="210"/>
      <c r="AU77" s="210"/>
      <c r="AV77" s="210"/>
      <c r="AW77" s="210"/>
      <c r="AX77" s="210"/>
      <c r="AY77" s="210"/>
      <c r="AZ77" s="210"/>
      <c r="BA77" s="210"/>
      <c r="BB77" s="210"/>
      <c r="BC77" s="210"/>
      <c r="BD77" s="210"/>
      <c r="BE77" s="210"/>
      <c r="BF77" s="210"/>
      <c r="BG77" s="262"/>
    </row>
    <row r="78" spans="1:59" ht="15.75" customHeight="1" x14ac:dyDescent="0.25">
      <c r="A78" s="262"/>
      <c r="B78" s="262"/>
      <c r="C78" s="210"/>
      <c r="D78" s="210"/>
      <c r="E78" s="263"/>
      <c r="F78" s="264"/>
      <c r="G78" s="265"/>
      <c r="H78" s="266"/>
      <c r="I78" s="267"/>
      <c r="J78" s="210"/>
      <c r="K78" s="210"/>
      <c r="L78" s="197"/>
      <c r="M78" s="197"/>
      <c r="N78" s="210"/>
      <c r="O78" s="268"/>
      <c r="P78" s="268"/>
      <c r="Q78" s="210"/>
      <c r="R78" s="210"/>
      <c r="S78" s="269"/>
      <c r="T78" s="270"/>
      <c r="U78" s="210"/>
      <c r="V78" s="210"/>
      <c r="W78" s="210"/>
      <c r="X78" s="210"/>
      <c r="Y78" s="197"/>
      <c r="Z78" s="197"/>
      <c r="AA78" s="210"/>
      <c r="AB78" s="262"/>
      <c r="AC78" s="262"/>
      <c r="AD78" s="271"/>
      <c r="AE78" s="262"/>
      <c r="AF78" s="262"/>
      <c r="AG78" s="262"/>
      <c r="AH78" s="262"/>
      <c r="AI78" s="262"/>
      <c r="AJ78" s="262"/>
      <c r="AK78" s="262"/>
      <c r="AL78" s="262"/>
      <c r="AM78" s="262"/>
      <c r="AN78" s="262"/>
      <c r="AO78" s="262"/>
      <c r="AP78" s="269"/>
      <c r="AQ78" s="280"/>
      <c r="AR78" s="280"/>
      <c r="AS78" s="280"/>
      <c r="AT78" s="210"/>
      <c r="AU78" s="210"/>
      <c r="AV78" s="210"/>
      <c r="AW78" s="210"/>
      <c r="AX78" s="210"/>
      <c r="AY78" s="210"/>
      <c r="AZ78" s="210"/>
      <c r="BA78" s="210"/>
      <c r="BB78" s="210"/>
      <c r="BC78" s="210"/>
      <c r="BD78" s="210"/>
      <c r="BE78" s="210"/>
      <c r="BF78" s="210"/>
      <c r="BG78" s="262"/>
    </row>
    <row r="79" spans="1:59" ht="15.75" customHeight="1" x14ac:dyDescent="0.25">
      <c r="A79" s="262"/>
      <c r="B79" s="262"/>
      <c r="C79" s="210"/>
      <c r="D79" s="210"/>
      <c r="E79" s="263"/>
      <c r="F79" s="264"/>
      <c r="G79" s="265"/>
      <c r="H79" s="266"/>
      <c r="I79" s="267"/>
      <c r="J79" s="210"/>
      <c r="K79" s="210"/>
      <c r="L79" s="197"/>
      <c r="M79" s="197"/>
      <c r="N79" s="210"/>
      <c r="O79" s="268"/>
      <c r="P79" s="268"/>
      <c r="Q79" s="210"/>
      <c r="R79" s="210"/>
      <c r="S79" s="269"/>
      <c r="T79" s="270"/>
      <c r="U79" s="210"/>
      <c r="V79" s="210"/>
      <c r="W79" s="210"/>
      <c r="X79" s="210"/>
      <c r="Y79" s="197"/>
      <c r="Z79" s="197"/>
      <c r="AA79" s="210"/>
      <c r="AB79" s="262"/>
      <c r="AC79" s="262"/>
      <c r="AD79" s="271"/>
      <c r="AE79" s="262"/>
      <c r="AF79" s="262"/>
      <c r="AG79" s="262"/>
      <c r="AH79" s="262"/>
      <c r="AI79" s="262"/>
      <c r="AJ79" s="262"/>
      <c r="AK79" s="262"/>
      <c r="AL79" s="262"/>
      <c r="AM79" s="262"/>
      <c r="AN79" s="262"/>
      <c r="AO79" s="262"/>
      <c r="AP79" s="269"/>
      <c r="AQ79" s="280"/>
      <c r="AR79" s="280"/>
      <c r="AS79" s="280"/>
      <c r="AT79" s="210"/>
      <c r="AU79" s="210"/>
      <c r="AV79" s="210"/>
      <c r="AW79" s="210"/>
      <c r="AX79" s="210"/>
      <c r="AY79" s="210"/>
      <c r="AZ79" s="210"/>
      <c r="BA79" s="210"/>
      <c r="BB79" s="210"/>
      <c r="BC79" s="210"/>
      <c r="BD79" s="210"/>
      <c r="BE79" s="210"/>
      <c r="BF79" s="210"/>
      <c r="BG79" s="262"/>
    </row>
    <row r="80" spans="1:59" ht="15.75" customHeight="1" x14ac:dyDescent="0.25">
      <c r="A80" s="262"/>
      <c r="B80" s="262"/>
      <c r="C80" s="210"/>
      <c r="D80" s="210"/>
      <c r="E80" s="263"/>
      <c r="F80" s="264"/>
      <c r="G80" s="265"/>
      <c r="H80" s="266"/>
      <c r="I80" s="267"/>
      <c r="J80" s="210"/>
      <c r="K80" s="210"/>
      <c r="L80" s="197"/>
      <c r="M80" s="197"/>
      <c r="N80" s="210"/>
      <c r="O80" s="268"/>
      <c r="P80" s="268"/>
      <c r="Q80" s="210"/>
      <c r="R80" s="210"/>
      <c r="S80" s="269"/>
      <c r="T80" s="270"/>
      <c r="U80" s="210"/>
      <c r="V80" s="210"/>
      <c r="W80" s="210"/>
      <c r="X80" s="210"/>
      <c r="Y80" s="197"/>
      <c r="Z80" s="197"/>
      <c r="AA80" s="210"/>
      <c r="AB80" s="262"/>
      <c r="AC80" s="262"/>
      <c r="AD80" s="271"/>
      <c r="AE80" s="262"/>
      <c r="AF80" s="262"/>
      <c r="AG80" s="262"/>
      <c r="AH80" s="262"/>
      <c r="AI80" s="262"/>
      <c r="AJ80" s="262"/>
      <c r="AK80" s="262"/>
      <c r="AL80" s="262"/>
      <c r="AM80" s="262"/>
      <c r="AN80" s="262"/>
      <c r="AO80" s="262"/>
      <c r="AP80" s="269"/>
      <c r="AQ80" s="280"/>
      <c r="AR80" s="280"/>
      <c r="AS80" s="280"/>
      <c r="AT80" s="210"/>
      <c r="AU80" s="210"/>
      <c r="AV80" s="210"/>
      <c r="AW80" s="210"/>
      <c r="AX80" s="210"/>
      <c r="AY80" s="210"/>
      <c r="AZ80" s="210"/>
      <c r="BA80" s="210"/>
      <c r="BB80" s="210"/>
      <c r="BC80" s="210"/>
      <c r="BD80" s="210"/>
      <c r="BE80" s="210"/>
      <c r="BF80" s="210"/>
      <c r="BG80" s="262"/>
    </row>
    <row r="81" spans="1:59" ht="15.75" customHeight="1" x14ac:dyDescent="0.25">
      <c r="A81" s="262"/>
      <c r="B81" s="262"/>
      <c r="C81" s="210"/>
      <c r="D81" s="210"/>
      <c r="E81" s="263"/>
      <c r="F81" s="264"/>
      <c r="G81" s="265"/>
      <c r="H81" s="266"/>
      <c r="I81" s="267"/>
      <c r="J81" s="210"/>
      <c r="K81" s="210"/>
      <c r="L81" s="197"/>
      <c r="M81" s="197"/>
      <c r="N81" s="210"/>
      <c r="O81" s="268"/>
      <c r="P81" s="268"/>
      <c r="Q81" s="210"/>
      <c r="R81" s="210"/>
      <c r="S81" s="269"/>
      <c r="T81" s="270"/>
      <c r="U81" s="210"/>
      <c r="V81" s="210"/>
      <c r="W81" s="210"/>
      <c r="X81" s="210"/>
      <c r="Y81" s="197"/>
      <c r="Z81" s="197"/>
      <c r="AA81" s="210"/>
      <c r="AB81" s="262"/>
      <c r="AC81" s="262"/>
      <c r="AD81" s="271"/>
      <c r="AE81" s="262"/>
      <c r="AF81" s="262"/>
      <c r="AG81" s="262"/>
      <c r="AH81" s="262"/>
      <c r="AI81" s="262"/>
      <c r="AJ81" s="262"/>
      <c r="AK81" s="262"/>
      <c r="AL81" s="262"/>
      <c r="AM81" s="262"/>
      <c r="AN81" s="262"/>
      <c r="AO81" s="262"/>
      <c r="AP81" s="269"/>
      <c r="AQ81" s="280"/>
      <c r="AR81" s="280"/>
      <c r="AS81" s="280"/>
      <c r="AT81" s="210"/>
      <c r="AU81" s="210"/>
      <c r="AV81" s="210"/>
      <c r="AW81" s="210"/>
      <c r="AX81" s="210"/>
      <c r="AY81" s="210"/>
      <c r="AZ81" s="210"/>
      <c r="BA81" s="210"/>
      <c r="BB81" s="210"/>
      <c r="BC81" s="210"/>
      <c r="BD81" s="210"/>
      <c r="BE81" s="210"/>
      <c r="BF81" s="210"/>
      <c r="BG81" s="262"/>
    </row>
    <row r="82" spans="1:59" ht="15.75" customHeight="1" x14ac:dyDescent="0.25">
      <c r="A82" s="262"/>
      <c r="B82" s="262"/>
      <c r="C82" s="210"/>
      <c r="D82" s="210"/>
      <c r="E82" s="263"/>
      <c r="F82" s="264"/>
      <c r="G82" s="265"/>
      <c r="H82" s="266"/>
      <c r="I82" s="267"/>
      <c r="J82" s="210"/>
      <c r="K82" s="210"/>
      <c r="L82" s="197"/>
      <c r="M82" s="197"/>
      <c r="N82" s="210"/>
      <c r="O82" s="268"/>
      <c r="P82" s="268"/>
      <c r="Q82" s="210"/>
      <c r="R82" s="210"/>
      <c r="S82" s="269"/>
      <c r="T82" s="270"/>
      <c r="U82" s="210"/>
      <c r="V82" s="210"/>
      <c r="W82" s="210"/>
      <c r="X82" s="210"/>
      <c r="Y82" s="197"/>
      <c r="Z82" s="197"/>
      <c r="AA82" s="210"/>
      <c r="AB82" s="262"/>
      <c r="AC82" s="262"/>
      <c r="AD82" s="271"/>
      <c r="AE82" s="262"/>
      <c r="AF82" s="262"/>
      <c r="AG82" s="262"/>
      <c r="AH82" s="262"/>
      <c r="AI82" s="262"/>
      <c r="AJ82" s="262"/>
      <c r="AK82" s="262"/>
      <c r="AL82" s="262"/>
      <c r="AM82" s="262"/>
      <c r="AN82" s="262"/>
      <c r="AO82" s="262"/>
      <c r="AP82" s="269"/>
      <c r="AQ82" s="280"/>
      <c r="AR82" s="280"/>
      <c r="AS82" s="280"/>
      <c r="AT82" s="210"/>
      <c r="AU82" s="210"/>
      <c r="AV82" s="210"/>
      <c r="AW82" s="210"/>
      <c r="AX82" s="210"/>
      <c r="AY82" s="210"/>
      <c r="AZ82" s="210"/>
      <c r="BA82" s="210"/>
      <c r="BB82" s="210"/>
      <c r="BC82" s="210"/>
      <c r="BD82" s="210"/>
      <c r="BE82" s="210"/>
      <c r="BF82" s="210"/>
      <c r="BG82" s="262"/>
    </row>
    <row r="83" spans="1:59" ht="15.75" customHeight="1" x14ac:dyDescent="0.25">
      <c r="A83" s="262"/>
      <c r="B83" s="262"/>
      <c r="C83" s="210"/>
      <c r="D83" s="210"/>
      <c r="E83" s="263"/>
      <c r="F83" s="264"/>
      <c r="G83" s="265"/>
      <c r="H83" s="266"/>
      <c r="I83" s="267"/>
      <c r="J83" s="210"/>
      <c r="K83" s="210"/>
      <c r="L83" s="197"/>
      <c r="M83" s="197"/>
      <c r="N83" s="210"/>
      <c r="O83" s="268"/>
      <c r="P83" s="268"/>
      <c r="Q83" s="210"/>
      <c r="R83" s="210"/>
      <c r="S83" s="269"/>
      <c r="T83" s="270"/>
      <c r="U83" s="210"/>
      <c r="V83" s="210"/>
      <c r="W83" s="210"/>
      <c r="X83" s="210"/>
      <c r="Y83" s="197"/>
      <c r="Z83" s="197"/>
      <c r="AA83" s="210"/>
      <c r="AB83" s="262"/>
      <c r="AC83" s="262"/>
      <c r="AD83" s="271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9"/>
      <c r="AQ83" s="280"/>
      <c r="AR83" s="280"/>
      <c r="AS83" s="280"/>
      <c r="AT83" s="210"/>
      <c r="AU83" s="210"/>
      <c r="AV83" s="210"/>
      <c r="AW83" s="210"/>
      <c r="AX83" s="210"/>
      <c r="AY83" s="210"/>
      <c r="AZ83" s="210"/>
      <c r="BA83" s="210"/>
      <c r="BB83" s="210"/>
      <c r="BC83" s="210"/>
      <c r="BD83" s="210"/>
      <c r="BE83" s="210"/>
      <c r="BF83" s="210"/>
      <c r="BG83" s="262"/>
    </row>
    <row r="84" spans="1:59" ht="15.75" customHeight="1" x14ac:dyDescent="0.25">
      <c r="A84" s="262"/>
      <c r="B84" s="262"/>
      <c r="C84" s="210"/>
      <c r="D84" s="210"/>
      <c r="E84" s="263"/>
      <c r="F84" s="264"/>
      <c r="G84" s="265"/>
      <c r="H84" s="266"/>
      <c r="I84" s="267"/>
      <c r="J84" s="210"/>
      <c r="K84" s="210"/>
      <c r="L84" s="197"/>
      <c r="M84" s="197"/>
      <c r="N84" s="210"/>
      <c r="O84" s="268"/>
      <c r="P84" s="268"/>
      <c r="Q84" s="210"/>
      <c r="R84" s="210"/>
      <c r="S84" s="269"/>
      <c r="T84" s="270"/>
      <c r="U84" s="210"/>
      <c r="V84" s="210"/>
      <c r="W84" s="210"/>
      <c r="X84" s="210"/>
      <c r="Y84" s="197"/>
      <c r="Z84" s="197"/>
      <c r="AA84" s="210"/>
      <c r="AB84" s="262"/>
      <c r="AC84" s="262"/>
      <c r="AD84" s="271"/>
      <c r="AE84" s="262"/>
      <c r="AF84" s="262"/>
      <c r="AG84" s="262"/>
      <c r="AH84" s="262"/>
      <c r="AI84" s="262"/>
      <c r="AJ84" s="262"/>
      <c r="AK84" s="262"/>
      <c r="AL84" s="262"/>
      <c r="AM84" s="262"/>
      <c r="AN84" s="262"/>
      <c r="AO84" s="262"/>
      <c r="AP84" s="269"/>
      <c r="AQ84" s="280"/>
      <c r="AR84" s="280"/>
      <c r="AS84" s="280"/>
      <c r="AT84" s="210"/>
      <c r="AU84" s="210"/>
      <c r="AV84" s="210"/>
      <c r="AW84" s="210"/>
      <c r="AX84" s="210"/>
      <c r="AY84" s="210"/>
      <c r="AZ84" s="210"/>
      <c r="BA84" s="210"/>
      <c r="BB84" s="210"/>
      <c r="BC84" s="210"/>
      <c r="BD84" s="210"/>
      <c r="BE84" s="210"/>
      <c r="BF84" s="210"/>
      <c r="BG84" s="262"/>
    </row>
    <row r="85" spans="1:59" ht="15.75" customHeight="1" x14ac:dyDescent="0.25">
      <c r="A85" s="262"/>
      <c r="B85" s="262"/>
      <c r="C85" s="210"/>
      <c r="D85" s="210"/>
      <c r="E85" s="263"/>
      <c r="F85" s="264"/>
      <c r="G85" s="265"/>
      <c r="H85" s="266"/>
      <c r="I85" s="267"/>
      <c r="J85" s="210"/>
      <c r="K85" s="210"/>
      <c r="L85" s="197"/>
      <c r="M85" s="197"/>
      <c r="N85" s="210"/>
      <c r="O85" s="268"/>
      <c r="P85" s="268"/>
      <c r="Q85" s="210"/>
      <c r="R85" s="210"/>
      <c r="S85" s="269"/>
      <c r="T85" s="270"/>
      <c r="U85" s="210"/>
      <c r="V85" s="210"/>
      <c r="W85" s="210"/>
      <c r="X85" s="210"/>
      <c r="Y85" s="197"/>
      <c r="Z85" s="197"/>
      <c r="AA85" s="210"/>
      <c r="AB85" s="262"/>
      <c r="AC85" s="262"/>
      <c r="AD85" s="271"/>
      <c r="AE85" s="262"/>
      <c r="AF85" s="262"/>
      <c r="AG85" s="262"/>
      <c r="AH85" s="262"/>
      <c r="AI85" s="262"/>
      <c r="AJ85" s="262"/>
      <c r="AK85" s="262"/>
      <c r="AL85" s="262"/>
      <c r="AM85" s="262"/>
      <c r="AN85" s="262"/>
      <c r="AO85" s="262"/>
      <c r="AP85" s="269"/>
      <c r="AQ85" s="280"/>
      <c r="AR85" s="280"/>
      <c r="AS85" s="280"/>
      <c r="AT85" s="210"/>
      <c r="AU85" s="210"/>
      <c r="AV85" s="210"/>
      <c r="AW85" s="210"/>
      <c r="AX85" s="210"/>
      <c r="AY85" s="210"/>
      <c r="AZ85" s="210"/>
      <c r="BA85" s="210"/>
      <c r="BB85" s="210"/>
      <c r="BC85" s="210"/>
      <c r="BD85" s="210"/>
      <c r="BE85" s="210"/>
      <c r="BF85" s="210"/>
      <c r="BG85" s="262"/>
    </row>
    <row r="86" spans="1:59" ht="15.75" customHeight="1" x14ac:dyDescent="0.25">
      <c r="A86" s="262"/>
      <c r="B86" s="262"/>
      <c r="C86" s="210"/>
      <c r="D86" s="210"/>
      <c r="E86" s="263"/>
      <c r="F86" s="264"/>
      <c r="G86" s="265"/>
      <c r="H86" s="266"/>
      <c r="I86" s="267"/>
      <c r="J86" s="210"/>
      <c r="K86" s="210"/>
      <c r="L86" s="197"/>
      <c r="M86" s="197"/>
      <c r="N86" s="210"/>
      <c r="O86" s="268"/>
      <c r="P86" s="268"/>
      <c r="Q86" s="210"/>
      <c r="R86" s="210"/>
      <c r="S86" s="269"/>
      <c r="T86" s="270"/>
      <c r="U86" s="210"/>
      <c r="V86" s="210"/>
      <c r="W86" s="210"/>
      <c r="X86" s="210"/>
      <c r="Y86" s="197"/>
      <c r="Z86" s="197"/>
      <c r="AA86" s="210"/>
      <c r="AB86" s="262"/>
      <c r="AC86" s="262"/>
      <c r="AD86" s="271"/>
      <c r="AE86" s="262"/>
      <c r="AF86" s="262"/>
      <c r="AG86" s="262"/>
      <c r="AH86" s="262"/>
      <c r="AI86" s="262"/>
      <c r="AJ86" s="262"/>
      <c r="AK86" s="262"/>
      <c r="AL86" s="262"/>
      <c r="AM86" s="262"/>
      <c r="AN86" s="262"/>
      <c r="AO86" s="262"/>
      <c r="AP86" s="269"/>
      <c r="AQ86" s="280"/>
      <c r="AR86" s="280"/>
      <c r="AS86" s="280"/>
      <c r="AT86" s="210"/>
      <c r="AU86" s="210"/>
      <c r="AV86" s="210"/>
      <c r="AW86" s="210"/>
      <c r="AX86" s="210"/>
      <c r="AY86" s="210"/>
      <c r="AZ86" s="210"/>
      <c r="BA86" s="210"/>
      <c r="BB86" s="210"/>
      <c r="BC86" s="210"/>
      <c r="BD86" s="210"/>
      <c r="BE86" s="210"/>
      <c r="BF86" s="210"/>
      <c r="BG86" s="262"/>
    </row>
    <row r="87" spans="1:59" ht="15.75" customHeight="1" x14ac:dyDescent="0.25">
      <c r="A87" s="262"/>
      <c r="B87" s="262"/>
      <c r="C87" s="210"/>
      <c r="D87" s="210"/>
      <c r="E87" s="263"/>
      <c r="F87" s="264"/>
      <c r="G87" s="265"/>
      <c r="H87" s="266"/>
      <c r="I87" s="267"/>
      <c r="J87" s="210"/>
      <c r="K87" s="210"/>
      <c r="L87" s="197"/>
      <c r="M87" s="197"/>
      <c r="N87" s="210"/>
      <c r="O87" s="268"/>
      <c r="P87" s="268"/>
      <c r="Q87" s="210"/>
      <c r="R87" s="210"/>
      <c r="S87" s="269"/>
      <c r="T87" s="270"/>
      <c r="U87" s="210"/>
      <c r="V87" s="210"/>
      <c r="W87" s="210"/>
      <c r="X87" s="210"/>
      <c r="Y87" s="197"/>
      <c r="Z87" s="197"/>
      <c r="AA87" s="210"/>
      <c r="AB87" s="262"/>
      <c r="AC87" s="262"/>
      <c r="AD87" s="271"/>
      <c r="AE87" s="262"/>
      <c r="AF87" s="262"/>
      <c r="AG87" s="262"/>
      <c r="AH87" s="262"/>
      <c r="AI87" s="262"/>
      <c r="AJ87" s="262"/>
      <c r="AK87" s="262"/>
      <c r="AL87" s="262"/>
      <c r="AM87" s="262"/>
      <c r="AN87" s="262"/>
      <c r="AO87" s="262"/>
      <c r="AP87" s="269"/>
      <c r="AQ87" s="280"/>
      <c r="AR87" s="280"/>
      <c r="AS87" s="280"/>
      <c r="AT87" s="210"/>
      <c r="AU87" s="210"/>
      <c r="AV87" s="210"/>
      <c r="AW87" s="210"/>
      <c r="AX87" s="210"/>
      <c r="AY87" s="210"/>
      <c r="AZ87" s="210"/>
      <c r="BA87" s="210"/>
      <c r="BB87" s="210"/>
      <c r="BC87" s="210"/>
      <c r="BD87" s="210"/>
      <c r="BE87" s="210"/>
      <c r="BF87" s="210"/>
      <c r="BG87" s="262"/>
    </row>
    <row r="88" spans="1:59" ht="15.75" customHeight="1" x14ac:dyDescent="0.25">
      <c r="A88" s="262"/>
      <c r="B88" s="262"/>
      <c r="C88" s="210"/>
      <c r="D88" s="210"/>
      <c r="E88" s="263"/>
      <c r="F88" s="264"/>
      <c r="G88" s="265"/>
      <c r="H88" s="266"/>
      <c r="I88" s="267"/>
      <c r="J88" s="210"/>
      <c r="K88" s="210"/>
      <c r="L88" s="197"/>
      <c r="M88" s="197"/>
      <c r="N88" s="210"/>
      <c r="O88" s="268"/>
      <c r="P88" s="268"/>
      <c r="Q88" s="210"/>
      <c r="R88" s="210"/>
      <c r="S88" s="269"/>
      <c r="T88" s="270"/>
      <c r="U88" s="210"/>
      <c r="V88" s="210"/>
      <c r="W88" s="210"/>
      <c r="X88" s="210"/>
      <c r="Y88" s="197"/>
      <c r="Z88" s="197"/>
      <c r="AA88" s="210"/>
      <c r="AB88" s="262"/>
      <c r="AC88" s="262"/>
      <c r="AD88" s="271"/>
      <c r="AE88" s="262"/>
      <c r="AF88" s="262"/>
      <c r="AG88" s="262"/>
      <c r="AH88" s="262"/>
      <c r="AI88" s="262"/>
      <c r="AJ88" s="262"/>
      <c r="AK88" s="262"/>
      <c r="AL88" s="262"/>
      <c r="AM88" s="262"/>
      <c r="AN88" s="262"/>
      <c r="AO88" s="262"/>
      <c r="AP88" s="269"/>
      <c r="AQ88" s="280"/>
      <c r="AR88" s="280"/>
      <c r="AS88" s="280"/>
      <c r="AT88" s="210"/>
      <c r="AU88" s="210"/>
      <c r="AV88" s="210"/>
      <c r="AW88" s="210"/>
      <c r="AX88" s="210"/>
      <c r="AY88" s="210"/>
      <c r="AZ88" s="210"/>
      <c r="BA88" s="210"/>
      <c r="BB88" s="210"/>
      <c r="BC88" s="210"/>
      <c r="BD88" s="210"/>
      <c r="BE88" s="210"/>
      <c r="BF88" s="210"/>
      <c r="BG88" s="262"/>
    </row>
    <row r="89" spans="1:59" ht="15.75" customHeight="1" x14ac:dyDescent="0.25">
      <c r="A89" s="262"/>
      <c r="B89" s="262"/>
      <c r="C89" s="210"/>
      <c r="D89" s="210"/>
      <c r="E89" s="263"/>
      <c r="F89" s="264"/>
      <c r="G89" s="265"/>
      <c r="H89" s="266"/>
      <c r="I89" s="267"/>
      <c r="J89" s="210"/>
      <c r="K89" s="210"/>
      <c r="L89" s="197"/>
      <c r="M89" s="197"/>
      <c r="N89" s="210"/>
      <c r="O89" s="268"/>
      <c r="P89" s="268"/>
      <c r="Q89" s="210"/>
      <c r="R89" s="210"/>
      <c r="S89" s="269"/>
      <c r="T89" s="270"/>
      <c r="U89" s="210"/>
      <c r="V89" s="210"/>
      <c r="W89" s="210"/>
      <c r="X89" s="210"/>
      <c r="Y89" s="197"/>
      <c r="Z89" s="197"/>
      <c r="AA89" s="210"/>
      <c r="AB89" s="262"/>
      <c r="AC89" s="262"/>
      <c r="AD89" s="271"/>
      <c r="AE89" s="262"/>
      <c r="AF89" s="262"/>
      <c r="AG89" s="262"/>
      <c r="AH89" s="262"/>
      <c r="AI89" s="262"/>
      <c r="AJ89" s="262"/>
      <c r="AK89" s="262"/>
      <c r="AL89" s="262"/>
      <c r="AM89" s="262"/>
      <c r="AN89" s="262"/>
      <c r="AO89" s="262"/>
      <c r="AP89" s="269"/>
      <c r="AQ89" s="280"/>
      <c r="AR89" s="280"/>
      <c r="AS89" s="280"/>
      <c r="AT89" s="210"/>
      <c r="AU89" s="210"/>
      <c r="AV89" s="210"/>
      <c r="AW89" s="210"/>
      <c r="AX89" s="210"/>
      <c r="AY89" s="210"/>
      <c r="AZ89" s="210"/>
      <c r="BA89" s="210"/>
      <c r="BB89" s="210"/>
      <c r="BC89" s="210"/>
      <c r="BD89" s="210"/>
      <c r="BE89" s="210"/>
      <c r="BF89" s="210"/>
      <c r="BG89" s="262"/>
    </row>
    <row r="90" spans="1:59" ht="15.75" customHeight="1" x14ac:dyDescent="0.25">
      <c r="A90" s="262"/>
      <c r="B90" s="262"/>
      <c r="C90" s="210"/>
      <c r="D90" s="210"/>
      <c r="E90" s="263"/>
      <c r="F90" s="264"/>
      <c r="G90" s="265"/>
      <c r="H90" s="266"/>
      <c r="I90" s="267"/>
      <c r="J90" s="210"/>
      <c r="K90" s="210"/>
      <c r="L90" s="197"/>
      <c r="M90" s="197"/>
      <c r="N90" s="210"/>
      <c r="O90" s="268"/>
      <c r="P90" s="268"/>
      <c r="Q90" s="210"/>
      <c r="R90" s="210"/>
      <c r="S90" s="269"/>
      <c r="T90" s="270"/>
      <c r="U90" s="210"/>
      <c r="V90" s="210"/>
      <c r="W90" s="210"/>
      <c r="X90" s="210"/>
      <c r="Y90" s="197"/>
      <c r="Z90" s="197"/>
      <c r="AA90" s="210"/>
      <c r="AB90" s="262"/>
      <c r="AC90" s="262"/>
      <c r="AD90" s="271"/>
      <c r="AE90" s="262"/>
      <c r="AF90" s="262"/>
      <c r="AG90" s="262"/>
      <c r="AH90" s="262"/>
      <c r="AI90" s="262"/>
      <c r="AJ90" s="262"/>
      <c r="AK90" s="262"/>
      <c r="AL90" s="262"/>
      <c r="AM90" s="262"/>
      <c r="AN90" s="262"/>
      <c r="AO90" s="262"/>
      <c r="AP90" s="269"/>
      <c r="AQ90" s="280"/>
      <c r="AR90" s="280"/>
      <c r="AS90" s="280"/>
      <c r="AT90" s="210"/>
      <c r="AU90" s="210"/>
      <c r="AV90" s="210"/>
      <c r="AW90" s="210"/>
      <c r="AX90" s="210"/>
      <c r="AY90" s="210"/>
      <c r="AZ90" s="210"/>
      <c r="BA90" s="210"/>
      <c r="BB90" s="210"/>
      <c r="BC90" s="210"/>
      <c r="BD90" s="210"/>
      <c r="BE90" s="210"/>
      <c r="BF90" s="210"/>
      <c r="BG90" s="262"/>
    </row>
    <row r="91" spans="1:59" ht="15.75" customHeight="1" x14ac:dyDescent="0.25">
      <c r="A91" s="262"/>
      <c r="B91" s="262"/>
      <c r="C91" s="210"/>
      <c r="D91" s="210"/>
      <c r="E91" s="263"/>
      <c r="F91" s="264"/>
      <c r="G91" s="265"/>
      <c r="H91" s="266"/>
      <c r="I91" s="267"/>
      <c r="J91" s="210"/>
      <c r="K91" s="210"/>
      <c r="L91" s="197"/>
      <c r="M91" s="197"/>
      <c r="N91" s="210"/>
      <c r="O91" s="268"/>
      <c r="P91" s="268"/>
      <c r="Q91" s="210"/>
      <c r="R91" s="210"/>
      <c r="S91" s="269"/>
      <c r="T91" s="270"/>
      <c r="U91" s="210"/>
      <c r="V91" s="210"/>
      <c r="W91" s="210"/>
      <c r="X91" s="210"/>
      <c r="Y91" s="197"/>
      <c r="Z91" s="197"/>
      <c r="AA91" s="210"/>
      <c r="AB91" s="262"/>
      <c r="AC91" s="262"/>
      <c r="AD91" s="271"/>
      <c r="AE91" s="262"/>
      <c r="AF91" s="262"/>
      <c r="AG91" s="262"/>
      <c r="AH91" s="262"/>
      <c r="AI91" s="262"/>
      <c r="AJ91" s="262"/>
      <c r="AK91" s="262"/>
      <c r="AL91" s="262"/>
      <c r="AM91" s="262"/>
      <c r="AN91" s="262"/>
      <c r="AO91" s="262"/>
      <c r="AP91" s="269"/>
      <c r="AQ91" s="280"/>
      <c r="AR91" s="280"/>
      <c r="AS91" s="280"/>
      <c r="AT91" s="210"/>
      <c r="AU91" s="210"/>
      <c r="AV91" s="210"/>
      <c r="AW91" s="210"/>
      <c r="AX91" s="210"/>
      <c r="AY91" s="210"/>
      <c r="AZ91" s="210"/>
      <c r="BA91" s="210"/>
      <c r="BB91" s="210"/>
      <c r="BC91" s="210"/>
      <c r="BD91" s="210"/>
      <c r="BE91" s="210"/>
      <c r="BF91" s="210"/>
      <c r="BG91" s="262"/>
    </row>
    <row r="92" spans="1:59" ht="15.75" customHeight="1" x14ac:dyDescent="0.25">
      <c r="A92" s="262"/>
      <c r="B92" s="262"/>
      <c r="C92" s="210"/>
      <c r="D92" s="210"/>
      <c r="E92" s="263"/>
      <c r="F92" s="264"/>
      <c r="G92" s="265"/>
      <c r="H92" s="266"/>
      <c r="I92" s="267"/>
      <c r="J92" s="210"/>
      <c r="K92" s="210"/>
      <c r="L92" s="197"/>
      <c r="M92" s="197"/>
      <c r="N92" s="210"/>
      <c r="O92" s="268"/>
      <c r="P92" s="268"/>
      <c r="Q92" s="210"/>
      <c r="R92" s="210"/>
      <c r="S92" s="269"/>
      <c r="T92" s="270"/>
      <c r="U92" s="210"/>
      <c r="V92" s="210"/>
      <c r="W92" s="210"/>
      <c r="X92" s="210"/>
      <c r="Y92" s="197"/>
      <c r="Z92" s="197"/>
      <c r="AA92" s="210"/>
      <c r="AB92" s="262"/>
      <c r="AC92" s="262"/>
      <c r="AD92" s="271"/>
      <c r="AE92" s="262"/>
      <c r="AF92" s="262"/>
      <c r="AG92" s="262"/>
      <c r="AH92" s="262"/>
      <c r="AI92" s="262"/>
      <c r="AJ92" s="262"/>
      <c r="AK92" s="262"/>
      <c r="AL92" s="262"/>
      <c r="AM92" s="262"/>
      <c r="AN92" s="262"/>
      <c r="AO92" s="262"/>
      <c r="AP92" s="269"/>
      <c r="AQ92" s="280"/>
      <c r="AR92" s="280"/>
      <c r="AS92" s="280"/>
      <c r="AT92" s="210"/>
      <c r="AU92" s="210"/>
      <c r="AV92" s="210"/>
      <c r="AW92" s="210"/>
      <c r="AX92" s="210"/>
      <c r="AY92" s="210"/>
      <c r="AZ92" s="210"/>
      <c r="BA92" s="210"/>
      <c r="BB92" s="210"/>
      <c r="BC92" s="210"/>
      <c r="BD92" s="210"/>
      <c r="BE92" s="210"/>
      <c r="BF92" s="210"/>
      <c r="BG92" s="262"/>
    </row>
    <row r="93" spans="1:59" ht="15.75" customHeight="1" x14ac:dyDescent="0.25">
      <c r="A93" s="262"/>
      <c r="B93" s="262"/>
      <c r="C93" s="210"/>
      <c r="D93" s="210"/>
      <c r="E93" s="263"/>
      <c r="F93" s="264"/>
      <c r="G93" s="265"/>
      <c r="H93" s="266"/>
      <c r="I93" s="267"/>
      <c r="J93" s="210"/>
      <c r="K93" s="210"/>
      <c r="L93" s="197"/>
      <c r="M93" s="197"/>
      <c r="N93" s="210"/>
      <c r="O93" s="268"/>
      <c r="P93" s="268"/>
      <c r="Q93" s="210"/>
      <c r="R93" s="210"/>
      <c r="S93" s="269"/>
      <c r="T93" s="270"/>
      <c r="U93" s="210"/>
      <c r="V93" s="210"/>
      <c r="W93" s="210"/>
      <c r="X93" s="210"/>
      <c r="Y93" s="197"/>
      <c r="Z93" s="197"/>
      <c r="AA93" s="210"/>
      <c r="AB93" s="262"/>
      <c r="AC93" s="262"/>
      <c r="AD93" s="271"/>
      <c r="AE93" s="262"/>
      <c r="AF93" s="262"/>
      <c r="AG93" s="262"/>
      <c r="AH93" s="262"/>
      <c r="AI93" s="262"/>
      <c r="AJ93" s="262"/>
      <c r="AK93" s="262"/>
      <c r="AL93" s="262"/>
      <c r="AM93" s="262"/>
      <c r="AN93" s="262"/>
      <c r="AO93" s="262"/>
      <c r="AP93" s="269"/>
      <c r="AQ93" s="280"/>
      <c r="AR93" s="280"/>
      <c r="AS93" s="280"/>
      <c r="AT93" s="210"/>
      <c r="AU93" s="210"/>
      <c r="AV93" s="210"/>
      <c r="AW93" s="210"/>
      <c r="AX93" s="210"/>
      <c r="AY93" s="210"/>
      <c r="AZ93" s="210"/>
      <c r="BA93" s="210"/>
      <c r="BB93" s="210"/>
      <c r="BC93" s="210"/>
      <c r="BD93" s="210"/>
      <c r="BE93" s="210"/>
      <c r="BF93" s="210"/>
      <c r="BG93" s="262"/>
    </row>
    <row r="94" spans="1:59" ht="15.75" customHeight="1" x14ac:dyDescent="0.25">
      <c r="A94" s="262"/>
      <c r="B94" s="262"/>
      <c r="C94" s="210"/>
      <c r="D94" s="210"/>
      <c r="E94" s="263"/>
      <c r="F94" s="264"/>
      <c r="G94" s="265"/>
      <c r="H94" s="266"/>
      <c r="I94" s="267"/>
      <c r="J94" s="210"/>
      <c r="K94" s="210"/>
      <c r="L94" s="197"/>
      <c r="M94" s="197"/>
      <c r="N94" s="210"/>
      <c r="O94" s="268"/>
      <c r="P94" s="268"/>
      <c r="Q94" s="210"/>
      <c r="R94" s="210"/>
      <c r="S94" s="269"/>
      <c r="T94" s="270"/>
      <c r="U94" s="210"/>
      <c r="V94" s="210"/>
      <c r="W94" s="210"/>
      <c r="X94" s="210"/>
      <c r="Y94" s="197"/>
      <c r="Z94" s="197"/>
      <c r="AA94" s="210"/>
      <c r="AB94" s="262"/>
      <c r="AC94" s="262"/>
      <c r="AD94" s="271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9"/>
      <c r="AQ94" s="280"/>
      <c r="AR94" s="280"/>
      <c r="AS94" s="280"/>
      <c r="AT94" s="210"/>
      <c r="AU94" s="210"/>
      <c r="AV94" s="210"/>
      <c r="AW94" s="210"/>
      <c r="AX94" s="210"/>
      <c r="AY94" s="210"/>
      <c r="AZ94" s="210"/>
      <c r="BA94" s="210"/>
      <c r="BB94" s="210"/>
      <c r="BC94" s="210"/>
      <c r="BD94" s="210"/>
      <c r="BE94" s="210"/>
      <c r="BF94" s="210"/>
      <c r="BG94" s="262"/>
    </row>
    <row r="95" spans="1:59" ht="15.75" customHeight="1" x14ac:dyDescent="0.25">
      <c r="A95" s="262"/>
      <c r="B95" s="262"/>
      <c r="C95" s="210"/>
      <c r="D95" s="210"/>
      <c r="E95" s="263"/>
      <c r="F95" s="264"/>
      <c r="G95" s="265"/>
      <c r="H95" s="266"/>
      <c r="I95" s="267"/>
      <c r="J95" s="210"/>
      <c r="K95" s="210"/>
      <c r="L95" s="197"/>
      <c r="M95" s="197"/>
      <c r="N95" s="210"/>
      <c r="O95" s="268"/>
      <c r="P95" s="268"/>
      <c r="Q95" s="210"/>
      <c r="R95" s="210"/>
      <c r="S95" s="269"/>
      <c r="T95" s="270"/>
      <c r="U95" s="210"/>
      <c r="V95" s="210"/>
      <c r="W95" s="210"/>
      <c r="X95" s="210"/>
      <c r="Y95" s="197"/>
      <c r="Z95" s="197"/>
      <c r="AA95" s="210"/>
      <c r="AB95" s="262"/>
      <c r="AC95" s="262"/>
      <c r="AD95" s="271"/>
      <c r="AE95" s="262"/>
      <c r="AF95" s="262"/>
      <c r="AG95" s="262"/>
      <c r="AH95" s="262"/>
      <c r="AI95" s="262"/>
      <c r="AJ95" s="262"/>
      <c r="AK95" s="262"/>
      <c r="AL95" s="262"/>
      <c r="AM95" s="262"/>
      <c r="AN95" s="262"/>
      <c r="AO95" s="262"/>
      <c r="AP95" s="269"/>
      <c r="AQ95" s="280"/>
      <c r="AR95" s="280"/>
      <c r="AS95" s="280"/>
      <c r="AT95" s="210"/>
      <c r="AU95" s="210"/>
      <c r="AV95" s="210"/>
      <c r="AW95" s="210"/>
      <c r="AX95" s="210"/>
      <c r="AY95" s="210"/>
      <c r="AZ95" s="210"/>
      <c r="BA95" s="210"/>
      <c r="BB95" s="210"/>
      <c r="BC95" s="210"/>
      <c r="BD95" s="210"/>
      <c r="BE95" s="210"/>
      <c r="BF95" s="210"/>
      <c r="BG95" s="262"/>
    </row>
    <row r="96" spans="1:59" ht="15.75" customHeight="1" x14ac:dyDescent="0.25">
      <c r="A96" s="262"/>
      <c r="B96" s="262"/>
      <c r="C96" s="210"/>
      <c r="D96" s="210"/>
      <c r="E96" s="263"/>
      <c r="F96" s="264"/>
      <c r="G96" s="265"/>
      <c r="H96" s="266"/>
      <c r="I96" s="267"/>
      <c r="J96" s="210"/>
      <c r="K96" s="210"/>
      <c r="L96" s="197"/>
      <c r="M96" s="197"/>
      <c r="N96" s="210"/>
      <c r="O96" s="268"/>
      <c r="P96" s="268"/>
      <c r="Q96" s="210"/>
      <c r="R96" s="210"/>
      <c r="S96" s="269"/>
      <c r="T96" s="270"/>
      <c r="U96" s="210"/>
      <c r="V96" s="210"/>
      <c r="W96" s="210"/>
      <c r="X96" s="210"/>
      <c r="Y96" s="197"/>
      <c r="Z96" s="197"/>
      <c r="AA96" s="210"/>
      <c r="AB96" s="262"/>
      <c r="AC96" s="262"/>
      <c r="AD96" s="271"/>
      <c r="AE96" s="262"/>
      <c r="AF96" s="262"/>
      <c r="AG96" s="262"/>
      <c r="AH96" s="262"/>
      <c r="AI96" s="262"/>
      <c r="AJ96" s="262"/>
      <c r="AK96" s="262"/>
      <c r="AL96" s="262"/>
      <c r="AM96" s="262"/>
      <c r="AN96" s="262"/>
      <c r="AO96" s="262"/>
      <c r="AP96" s="269"/>
      <c r="AQ96" s="280"/>
      <c r="AR96" s="280"/>
      <c r="AS96" s="280"/>
      <c r="AT96" s="210"/>
      <c r="AU96" s="210"/>
      <c r="AV96" s="210"/>
      <c r="AW96" s="210"/>
      <c r="AX96" s="210"/>
      <c r="AY96" s="210"/>
      <c r="AZ96" s="210"/>
      <c r="BA96" s="210"/>
      <c r="BB96" s="210"/>
      <c r="BC96" s="210"/>
      <c r="BD96" s="210"/>
      <c r="BE96" s="210"/>
      <c r="BF96" s="210"/>
      <c r="BG96" s="262"/>
    </row>
    <row r="97" spans="1:59" ht="15.75" customHeight="1" x14ac:dyDescent="0.25">
      <c r="A97" s="262"/>
      <c r="B97" s="262"/>
      <c r="C97" s="210"/>
      <c r="D97" s="210"/>
      <c r="E97" s="263"/>
      <c r="F97" s="264"/>
      <c r="G97" s="265"/>
      <c r="H97" s="266"/>
      <c r="I97" s="267"/>
      <c r="J97" s="210"/>
      <c r="K97" s="210"/>
      <c r="L97" s="197"/>
      <c r="M97" s="197"/>
      <c r="N97" s="210"/>
      <c r="O97" s="268"/>
      <c r="P97" s="268"/>
      <c r="Q97" s="210"/>
      <c r="R97" s="210"/>
      <c r="S97" s="269"/>
      <c r="T97" s="270"/>
      <c r="U97" s="210"/>
      <c r="V97" s="210"/>
      <c r="W97" s="210"/>
      <c r="X97" s="210"/>
      <c r="Y97" s="197"/>
      <c r="Z97" s="197"/>
      <c r="AA97" s="210"/>
      <c r="AB97" s="262"/>
      <c r="AC97" s="262"/>
      <c r="AD97" s="271"/>
      <c r="AE97" s="262"/>
      <c r="AF97" s="262"/>
      <c r="AG97" s="262"/>
      <c r="AH97" s="262"/>
      <c r="AI97" s="262"/>
      <c r="AJ97" s="262"/>
      <c r="AK97" s="262"/>
      <c r="AL97" s="262"/>
      <c r="AM97" s="262"/>
      <c r="AN97" s="262"/>
      <c r="AO97" s="262"/>
      <c r="AP97" s="269"/>
      <c r="AQ97" s="280"/>
      <c r="AR97" s="280"/>
      <c r="AS97" s="280"/>
      <c r="AT97" s="210"/>
      <c r="AU97" s="210"/>
      <c r="AV97" s="210"/>
      <c r="AW97" s="210"/>
      <c r="AX97" s="210"/>
      <c r="AY97" s="210"/>
      <c r="AZ97" s="210"/>
      <c r="BA97" s="210"/>
      <c r="BB97" s="210"/>
      <c r="BC97" s="210"/>
      <c r="BD97" s="210"/>
      <c r="BE97" s="210"/>
      <c r="BF97" s="210"/>
      <c r="BG97" s="262"/>
    </row>
    <row r="98" spans="1:59" ht="15.75" customHeight="1" x14ac:dyDescent="0.25">
      <c r="A98" s="262"/>
      <c r="B98" s="262"/>
      <c r="C98" s="210"/>
      <c r="D98" s="210"/>
      <c r="E98" s="263"/>
      <c r="F98" s="264"/>
      <c r="G98" s="265"/>
      <c r="H98" s="266"/>
      <c r="I98" s="267"/>
      <c r="J98" s="210"/>
      <c r="K98" s="210"/>
      <c r="L98" s="197"/>
      <c r="M98" s="197"/>
      <c r="N98" s="210"/>
      <c r="O98" s="268"/>
      <c r="P98" s="268"/>
      <c r="Q98" s="210"/>
      <c r="R98" s="210"/>
      <c r="S98" s="269"/>
      <c r="T98" s="270"/>
      <c r="U98" s="210"/>
      <c r="V98" s="210"/>
      <c r="W98" s="210"/>
      <c r="X98" s="210"/>
      <c r="Y98" s="197"/>
      <c r="Z98" s="197"/>
      <c r="AA98" s="210"/>
      <c r="AB98" s="262"/>
      <c r="AC98" s="262"/>
      <c r="AD98" s="271"/>
      <c r="AE98" s="262"/>
      <c r="AF98" s="262"/>
      <c r="AG98" s="262"/>
      <c r="AH98" s="262"/>
      <c r="AI98" s="262"/>
      <c r="AJ98" s="262"/>
      <c r="AK98" s="262"/>
      <c r="AL98" s="262"/>
      <c r="AM98" s="262"/>
      <c r="AN98" s="262"/>
      <c r="AO98" s="262"/>
      <c r="AP98" s="269"/>
      <c r="AQ98" s="280"/>
      <c r="AR98" s="280"/>
      <c r="AS98" s="280"/>
      <c r="AT98" s="210"/>
      <c r="AU98" s="210"/>
      <c r="AV98" s="210"/>
      <c r="AW98" s="210"/>
      <c r="AX98" s="210"/>
      <c r="AY98" s="210"/>
      <c r="AZ98" s="210"/>
      <c r="BA98" s="210"/>
      <c r="BB98" s="210"/>
      <c r="BC98" s="210"/>
      <c r="BD98" s="210"/>
      <c r="BE98" s="210"/>
      <c r="BF98" s="210"/>
      <c r="BG98" s="262"/>
    </row>
    <row r="99" spans="1:59" ht="15.75" customHeight="1" x14ac:dyDescent="0.25">
      <c r="A99" s="262"/>
      <c r="B99" s="262"/>
      <c r="C99" s="210"/>
      <c r="D99" s="210"/>
      <c r="E99" s="263"/>
      <c r="F99" s="264"/>
      <c r="G99" s="265"/>
      <c r="H99" s="266"/>
      <c r="I99" s="267"/>
      <c r="J99" s="210"/>
      <c r="K99" s="210"/>
      <c r="L99" s="197"/>
      <c r="M99" s="197"/>
      <c r="N99" s="210"/>
      <c r="O99" s="268"/>
      <c r="P99" s="268"/>
      <c r="Q99" s="210"/>
      <c r="R99" s="210"/>
      <c r="S99" s="269"/>
      <c r="T99" s="270"/>
      <c r="U99" s="210"/>
      <c r="V99" s="210"/>
      <c r="W99" s="210"/>
      <c r="X99" s="210"/>
      <c r="Y99" s="197"/>
      <c r="Z99" s="197"/>
      <c r="AA99" s="210"/>
      <c r="AB99" s="262"/>
      <c r="AC99" s="262"/>
      <c r="AD99" s="271"/>
      <c r="AE99" s="262"/>
      <c r="AF99" s="262"/>
      <c r="AG99" s="262"/>
      <c r="AH99" s="262"/>
      <c r="AI99" s="262"/>
      <c r="AJ99" s="262"/>
      <c r="AK99" s="262"/>
      <c r="AL99" s="262"/>
      <c r="AM99" s="262"/>
      <c r="AN99" s="262"/>
      <c r="AO99" s="262"/>
      <c r="AP99" s="269"/>
      <c r="AQ99" s="280"/>
      <c r="AR99" s="280"/>
      <c r="AS99" s="280"/>
      <c r="AT99" s="210"/>
      <c r="AU99" s="210"/>
      <c r="AV99" s="210"/>
      <c r="AW99" s="210"/>
      <c r="AX99" s="210"/>
      <c r="AY99" s="210"/>
      <c r="AZ99" s="210"/>
      <c r="BA99" s="210"/>
      <c r="BB99" s="210"/>
      <c r="BC99" s="210"/>
      <c r="BD99" s="210"/>
      <c r="BE99" s="210"/>
      <c r="BF99" s="210"/>
      <c r="BG99" s="262"/>
    </row>
    <row r="100" spans="1:59" ht="15.75" customHeight="1" x14ac:dyDescent="0.25">
      <c r="A100" s="262"/>
      <c r="B100" s="262"/>
      <c r="C100" s="210"/>
      <c r="D100" s="210"/>
      <c r="E100" s="263"/>
      <c r="F100" s="264"/>
      <c r="G100" s="265"/>
      <c r="H100" s="266"/>
      <c r="I100" s="267"/>
      <c r="J100" s="210"/>
      <c r="K100" s="210"/>
      <c r="L100" s="197"/>
      <c r="M100" s="197"/>
      <c r="N100" s="210"/>
      <c r="O100" s="268"/>
      <c r="P100" s="268"/>
      <c r="Q100" s="210"/>
      <c r="R100" s="210"/>
      <c r="S100" s="269"/>
      <c r="T100" s="270"/>
      <c r="U100" s="210"/>
      <c r="V100" s="210"/>
      <c r="W100" s="210"/>
      <c r="X100" s="210"/>
      <c r="Y100" s="197"/>
      <c r="Z100" s="197"/>
      <c r="AA100" s="210"/>
      <c r="AB100" s="262"/>
      <c r="AC100" s="262"/>
      <c r="AD100" s="271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9"/>
      <c r="AQ100" s="280"/>
      <c r="AR100" s="280"/>
      <c r="AS100" s="280"/>
      <c r="AT100" s="210"/>
      <c r="AU100" s="210"/>
      <c r="AV100" s="210"/>
      <c r="AW100" s="210"/>
      <c r="AX100" s="210"/>
      <c r="AY100" s="210"/>
      <c r="AZ100" s="210"/>
      <c r="BA100" s="210"/>
      <c r="BB100" s="210"/>
      <c r="BC100" s="210"/>
      <c r="BD100" s="210"/>
      <c r="BE100" s="210"/>
      <c r="BF100" s="210"/>
      <c r="BG100" s="262"/>
    </row>
    <row r="101" spans="1:59" ht="15.75" customHeight="1" x14ac:dyDescent="0.25">
      <c r="A101" s="262"/>
      <c r="B101" s="262"/>
      <c r="C101" s="210"/>
      <c r="D101" s="210"/>
      <c r="E101" s="263"/>
      <c r="F101" s="264"/>
      <c r="G101" s="265"/>
      <c r="H101" s="266"/>
      <c r="I101" s="267"/>
      <c r="J101" s="210"/>
      <c r="K101" s="210"/>
      <c r="L101" s="197"/>
      <c r="M101" s="197"/>
      <c r="N101" s="210"/>
      <c r="O101" s="268"/>
      <c r="P101" s="268"/>
      <c r="Q101" s="210"/>
      <c r="R101" s="210"/>
      <c r="S101" s="269"/>
      <c r="T101" s="270"/>
      <c r="U101" s="210"/>
      <c r="V101" s="210"/>
      <c r="W101" s="210"/>
      <c r="X101" s="210"/>
      <c r="Y101" s="197"/>
      <c r="Z101" s="197"/>
      <c r="AA101" s="210"/>
      <c r="AB101" s="262"/>
      <c r="AC101" s="262"/>
      <c r="AD101" s="271"/>
      <c r="AE101" s="262"/>
      <c r="AF101" s="262"/>
      <c r="AG101" s="262"/>
      <c r="AH101" s="262"/>
      <c r="AI101" s="262"/>
      <c r="AJ101" s="262"/>
      <c r="AK101" s="262"/>
      <c r="AL101" s="262"/>
      <c r="AM101" s="262"/>
      <c r="AN101" s="262"/>
      <c r="AO101" s="262"/>
      <c r="AP101" s="269"/>
      <c r="AQ101" s="280"/>
      <c r="AR101" s="280"/>
      <c r="AS101" s="280"/>
      <c r="AT101" s="210"/>
      <c r="AU101" s="210"/>
      <c r="AV101" s="210"/>
      <c r="AW101" s="210"/>
      <c r="AX101" s="210"/>
      <c r="AY101" s="210"/>
      <c r="AZ101" s="210"/>
      <c r="BA101" s="210"/>
      <c r="BB101" s="210"/>
      <c r="BC101" s="210"/>
      <c r="BD101" s="210"/>
      <c r="BE101" s="210"/>
      <c r="BF101" s="210"/>
      <c r="BG101" s="262"/>
    </row>
    <row r="102" spans="1:59" ht="15.75" customHeight="1" x14ac:dyDescent="0.25">
      <c r="A102" s="262"/>
      <c r="B102" s="262"/>
      <c r="C102" s="210"/>
      <c r="D102" s="210"/>
      <c r="E102" s="263"/>
      <c r="F102" s="264"/>
      <c r="G102" s="265"/>
      <c r="H102" s="266"/>
      <c r="I102" s="267"/>
      <c r="J102" s="210"/>
      <c r="K102" s="210"/>
      <c r="L102" s="197"/>
      <c r="M102" s="197"/>
      <c r="N102" s="210"/>
      <c r="O102" s="268"/>
      <c r="P102" s="268"/>
      <c r="Q102" s="210"/>
      <c r="R102" s="210"/>
      <c r="S102" s="269"/>
      <c r="T102" s="270"/>
      <c r="U102" s="210"/>
      <c r="V102" s="210"/>
      <c r="W102" s="210"/>
      <c r="X102" s="210"/>
      <c r="Y102" s="197"/>
      <c r="Z102" s="197"/>
      <c r="AA102" s="210"/>
      <c r="AB102" s="262"/>
      <c r="AC102" s="262"/>
      <c r="AD102" s="271"/>
      <c r="AE102" s="262"/>
      <c r="AF102" s="262"/>
      <c r="AG102" s="262"/>
      <c r="AH102" s="262"/>
      <c r="AI102" s="262"/>
      <c r="AJ102" s="262"/>
      <c r="AK102" s="262"/>
      <c r="AL102" s="262"/>
      <c r="AM102" s="262"/>
      <c r="AN102" s="262"/>
      <c r="AO102" s="262"/>
      <c r="AP102" s="269"/>
      <c r="AQ102" s="280"/>
      <c r="AR102" s="280"/>
      <c r="AS102" s="280"/>
      <c r="AT102" s="210"/>
      <c r="AU102" s="210"/>
      <c r="AV102" s="210"/>
      <c r="AW102" s="210"/>
      <c r="AX102" s="210"/>
      <c r="AY102" s="210"/>
      <c r="AZ102" s="210"/>
      <c r="BA102" s="210"/>
      <c r="BB102" s="210"/>
      <c r="BC102" s="210"/>
      <c r="BD102" s="210"/>
      <c r="BE102" s="210"/>
      <c r="BF102" s="210"/>
      <c r="BG102" s="262"/>
    </row>
    <row r="103" spans="1:59" ht="15.75" customHeight="1" x14ac:dyDescent="0.25">
      <c r="A103" s="262"/>
      <c r="B103" s="262"/>
      <c r="C103" s="210"/>
      <c r="D103" s="210"/>
      <c r="E103" s="263"/>
      <c r="F103" s="264"/>
      <c r="G103" s="265"/>
      <c r="H103" s="266"/>
      <c r="I103" s="267"/>
      <c r="J103" s="210"/>
      <c r="K103" s="210"/>
      <c r="L103" s="197"/>
      <c r="M103" s="197"/>
      <c r="N103" s="210"/>
      <c r="O103" s="268"/>
      <c r="P103" s="268"/>
      <c r="Q103" s="210"/>
      <c r="R103" s="210"/>
      <c r="S103" s="269"/>
      <c r="T103" s="270"/>
      <c r="U103" s="210"/>
      <c r="V103" s="210"/>
      <c r="W103" s="210"/>
      <c r="X103" s="210"/>
      <c r="Y103" s="197"/>
      <c r="Z103" s="197"/>
      <c r="AA103" s="210"/>
      <c r="AB103" s="262"/>
      <c r="AC103" s="262"/>
      <c r="AD103" s="271"/>
      <c r="AE103" s="262"/>
      <c r="AF103" s="262"/>
      <c r="AG103" s="262"/>
      <c r="AH103" s="262"/>
      <c r="AI103" s="262"/>
      <c r="AJ103" s="262"/>
      <c r="AK103" s="262"/>
      <c r="AL103" s="262"/>
      <c r="AM103" s="262"/>
      <c r="AN103" s="262"/>
      <c r="AO103" s="262"/>
      <c r="AP103" s="269"/>
      <c r="AQ103" s="280"/>
      <c r="AR103" s="280"/>
      <c r="AS103" s="280"/>
      <c r="AT103" s="210"/>
      <c r="AU103" s="210"/>
      <c r="AV103" s="210"/>
      <c r="AW103" s="210"/>
      <c r="AX103" s="210"/>
      <c r="AY103" s="210"/>
      <c r="AZ103" s="210"/>
      <c r="BA103" s="210"/>
      <c r="BB103" s="210"/>
      <c r="BC103" s="210"/>
      <c r="BD103" s="210"/>
      <c r="BE103" s="210"/>
      <c r="BF103" s="210"/>
      <c r="BG103" s="262"/>
    </row>
    <row r="104" spans="1:59" ht="15.75" customHeight="1" x14ac:dyDescent="0.25">
      <c r="A104" s="262"/>
      <c r="B104" s="262"/>
      <c r="C104" s="210"/>
      <c r="D104" s="210"/>
      <c r="E104" s="263"/>
      <c r="F104" s="264"/>
      <c r="G104" s="265"/>
      <c r="H104" s="266"/>
      <c r="I104" s="267"/>
      <c r="J104" s="210"/>
      <c r="K104" s="210"/>
      <c r="L104" s="197"/>
      <c r="M104" s="197"/>
      <c r="N104" s="210"/>
      <c r="O104" s="268"/>
      <c r="P104" s="268"/>
      <c r="Q104" s="210"/>
      <c r="R104" s="210"/>
      <c r="S104" s="269"/>
      <c r="T104" s="270"/>
      <c r="U104" s="210"/>
      <c r="V104" s="210"/>
      <c r="W104" s="210"/>
      <c r="X104" s="210"/>
      <c r="Y104" s="197"/>
      <c r="Z104" s="197"/>
      <c r="AA104" s="210"/>
      <c r="AB104" s="262"/>
      <c r="AC104" s="262"/>
      <c r="AD104" s="271"/>
      <c r="AE104" s="262"/>
      <c r="AF104" s="262"/>
      <c r="AG104" s="262"/>
      <c r="AH104" s="262"/>
      <c r="AI104" s="262"/>
      <c r="AJ104" s="262"/>
      <c r="AK104" s="262"/>
      <c r="AL104" s="262"/>
      <c r="AM104" s="262"/>
      <c r="AN104" s="262"/>
      <c r="AO104" s="262"/>
      <c r="AP104" s="269"/>
      <c r="AQ104" s="280"/>
      <c r="AR104" s="280"/>
      <c r="AS104" s="280"/>
      <c r="AT104" s="210"/>
      <c r="AU104" s="210"/>
      <c r="AV104" s="210"/>
      <c r="AW104" s="210"/>
      <c r="AX104" s="210"/>
      <c r="AY104" s="210"/>
      <c r="AZ104" s="210"/>
      <c r="BA104" s="210"/>
      <c r="BB104" s="210"/>
      <c r="BC104" s="210"/>
      <c r="BD104" s="210"/>
      <c r="BE104" s="210"/>
      <c r="BF104" s="210"/>
      <c r="BG104" s="262"/>
    </row>
    <row r="105" spans="1:59" ht="15.75" customHeight="1" x14ac:dyDescent="0.25">
      <c r="A105" s="262"/>
      <c r="B105" s="262"/>
      <c r="C105" s="210"/>
      <c r="D105" s="210"/>
      <c r="E105" s="263"/>
      <c r="F105" s="264"/>
      <c r="G105" s="265"/>
      <c r="H105" s="266"/>
      <c r="I105" s="267"/>
      <c r="J105" s="210"/>
      <c r="K105" s="210"/>
      <c r="L105" s="197"/>
      <c r="M105" s="197"/>
      <c r="N105" s="210"/>
      <c r="O105" s="268"/>
      <c r="P105" s="268"/>
      <c r="Q105" s="210"/>
      <c r="R105" s="210"/>
      <c r="S105" s="269"/>
      <c r="T105" s="270"/>
      <c r="U105" s="210"/>
      <c r="V105" s="210"/>
      <c r="W105" s="210"/>
      <c r="X105" s="210"/>
      <c r="Y105" s="197"/>
      <c r="Z105" s="197"/>
      <c r="AA105" s="210"/>
      <c r="AB105" s="262"/>
      <c r="AC105" s="262"/>
      <c r="AD105" s="271"/>
      <c r="AE105" s="262"/>
      <c r="AF105" s="262"/>
      <c r="AG105" s="262"/>
      <c r="AH105" s="262"/>
      <c r="AI105" s="262"/>
      <c r="AJ105" s="262"/>
      <c r="AK105" s="262"/>
      <c r="AL105" s="262"/>
      <c r="AM105" s="262"/>
      <c r="AN105" s="262"/>
      <c r="AO105" s="262"/>
      <c r="AP105" s="269"/>
      <c r="AQ105" s="280"/>
      <c r="AR105" s="280"/>
      <c r="AS105" s="280"/>
      <c r="AT105" s="210"/>
      <c r="AU105" s="210"/>
      <c r="AV105" s="210"/>
      <c r="AW105" s="210"/>
      <c r="AX105" s="210"/>
      <c r="AY105" s="210"/>
      <c r="AZ105" s="210"/>
      <c r="BA105" s="210"/>
      <c r="BB105" s="210"/>
      <c r="BC105" s="210"/>
      <c r="BD105" s="210"/>
      <c r="BE105" s="210"/>
      <c r="BF105" s="210"/>
      <c r="BG105" s="262"/>
    </row>
    <row r="106" spans="1:59" ht="15.75" customHeight="1" x14ac:dyDescent="0.25">
      <c r="A106" s="262"/>
      <c r="B106" s="262"/>
      <c r="C106" s="210"/>
      <c r="D106" s="210"/>
      <c r="E106" s="263"/>
      <c r="F106" s="264"/>
      <c r="G106" s="265"/>
      <c r="H106" s="266"/>
      <c r="I106" s="267"/>
      <c r="J106" s="210"/>
      <c r="K106" s="210"/>
      <c r="L106" s="197"/>
      <c r="M106" s="197"/>
      <c r="N106" s="210"/>
      <c r="O106" s="268"/>
      <c r="P106" s="268"/>
      <c r="Q106" s="210"/>
      <c r="R106" s="210"/>
      <c r="S106" s="269"/>
      <c r="T106" s="270"/>
      <c r="U106" s="210"/>
      <c r="V106" s="210"/>
      <c r="W106" s="210"/>
      <c r="X106" s="210"/>
      <c r="Y106" s="197"/>
      <c r="Z106" s="197"/>
      <c r="AA106" s="210"/>
      <c r="AB106" s="262"/>
      <c r="AC106" s="262"/>
      <c r="AD106" s="271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9"/>
      <c r="AQ106" s="280"/>
      <c r="AR106" s="280"/>
      <c r="AS106" s="280"/>
      <c r="AT106" s="210"/>
      <c r="AU106" s="210"/>
      <c r="AV106" s="210"/>
      <c r="AW106" s="210"/>
      <c r="AX106" s="210"/>
      <c r="AY106" s="210"/>
      <c r="AZ106" s="210"/>
      <c r="BA106" s="210"/>
      <c r="BB106" s="210"/>
      <c r="BC106" s="210"/>
      <c r="BD106" s="210"/>
      <c r="BE106" s="210"/>
      <c r="BF106" s="210"/>
      <c r="BG106" s="262"/>
    </row>
    <row r="107" spans="1:59" ht="15.75" customHeight="1" x14ac:dyDescent="0.25">
      <c r="A107" s="262"/>
      <c r="B107" s="262"/>
      <c r="C107" s="210"/>
      <c r="D107" s="210"/>
      <c r="E107" s="263"/>
      <c r="F107" s="264"/>
      <c r="G107" s="265"/>
      <c r="H107" s="266"/>
      <c r="I107" s="267"/>
      <c r="J107" s="210"/>
      <c r="K107" s="210"/>
      <c r="L107" s="197"/>
      <c r="M107" s="197"/>
      <c r="N107" s="210"/>
      <c r="O107" s="268"/>
      <c r="P107" s="268"/>
      <c r="Q107" s="210"/>
      <c r="R107" s="210"/>
      <c r="S107" s="269"/>
      <c r="T107" s="270"/>
      <c r="U107" s="210"/>
      <c r="V107" s="210"/>
      <c r="W107" s="210"/>
      <c r="X107" s="210"/>
      <c r="Y107" s="197"/>
      <c r="Z107" s="197"/>
      <c r="AA107" s="210"/>
      <c r="AB107" s="262"/>
      <c r="AC107" s="262"/>
      <c r="AD107" s="271"/>
      <c r="AE107" s="262"/>
      <c r="AF107" s="262"/>
      <c r="AG107" s="262"/>
      <c r="AH107" s="262"/>
      <c r="AI107" s="262"/>
      <c r="AJ107" s="262"/>
      <c r="AK107" s="262"/>
      <c r="AL107" s="262"/>
      <c r="AM107" s="262"/>
      <c r="AN107" s="262"/>
      <c r="AO107" s="262"/>
      <c r="AP107" s="269"/>
      <c r="AQ107" s="280"/>
      <c r="AR107" s="280"/>
      <c r="AS107" s="280"/>
      <c r="AT107" s="210"/>
      <c r="AU107" s="210"/>
      <c r="AV107" s="210"/>
      <c r="AW107" s="210"/>
      <c r="AX107" s="210"/>
      <c r="AY107" s="210"/>
      <c r="AZ107" s="210"/>
      <c r="BA107" s="210"/>
      <c r="BB107" s="210"/>
      <c r="BC107" s="210"/>
      <c r="BD107" s="210"/>
      <c r="BE107" s="210"/>
      <c r="BF107" s="210"/>
      <c r="BG107" s="262"/>
    </row>
    <row r="108" spans="1:59" ht="15.75" customHeight="1" x14ac:dyDescent="0.25">
      <c r="A108" s="262"/>
      <c r="B108" s="262"/>
      <c r="C108" s="210"/>
      <c r="D108" s="210"/>
      <c r="E108" s="263"/>
      <c r="F108" s="264"/>
      <c r="G108" s="265"/>
      <c r="H108" s="266"/>
      <c r="I108" s="267"/>
      <c r="J108" s="210"/>
      <c r="K108" s="210"/>
      <c r="L108" s="197"/>
      <c r="M108" s="197"/>
      <c r="N108" s="210"/>
      <c r="O108" s="268"/>
      <c r="P108" s="268"/>
      <c r="Q108" s="210"/>
      <c r="R108" s="210"/>
      <c r="S108" s="269"/>
      <c r="T108" s="270"/>
      <c r="U108" s="210"/>
      <c r="V108" s="210"/>
      <c r="W108" s="210"/>
      <c r="X108" s="210"/>
      <c r="Y108" s="197"/>
      <c r="Z108" s="197"/>
      <c r="AA108" s="210"/>
      <c r="AB108" s="262"/>
      <c r="AC108" s="262"/>
      <c r="AD108" s="271"/>
      <c r="AE108" s="262"/>
      <c r="AF108" s="262"/>
      <c r="AG108" s="262"/>
      <c r="AH108" s="262"/>
      <c r="AI108" s="262"/>
      <c r="AJ108" s="262"/>
      <c r="AK108" s="262"/>
      <c r="AL108" s="262"/>
      <c r="AM108" s="262"/>
      <c r="AN108" s="262"/>
      <c r="AO108" s="262"/>
      <c r="AP108" s="269"/>
      <c r="AQ108" s="280"/>
      <c r="AR108" s="280"/>
      <c r="AS108" s="280"/>
      <c r="AT108" s="210"/>
      <c r="AU108" s="210"/>
      <c r="AV108" s="210"/>
      <c r="AW108" s="210"/>
      <c r="AX108" s="210"/>
      <c r="AY108" s="210"/>
      <c r="AZ108" s="210"/>
      <c r="BA108" s="210"/>
      <c r="BB108" s="210"/>
      <c r="BC108" s="210"/>
      <c r="BD108" s="210"/>
      <c r="BE108" s="210"/>
      <c r="BF108" s="210"/>
      <c r="BG108" s="262"/>
    </row>
    <row r="109" spans="1:59" ht="15.75" customHeight="1" x14ac:dyDescent="0.25">
      <c r="A109" s="262"/>
      <c r="B109" s="262"/>
      <c r="C109" s="210"/>
      <c r="D109" s="210"/>
      <c r="E109" s="263"/>
      <c r="F109" s="264"/>
      <c r="G109" s="265"/>
      <c r="H109" s="266"/>
      <c r="I109" s="267"/>
      <c r="J109" s="210"/>
      <c r="K109" s="210"/>
      <c r="L109" s="197"/>
      <c r="M109" s="197"/>
      <c r="N109" s="210"/>
      <c r="O109" s="268"/>
      <c r="P109" s="268"/>
      <c r="Q109" s="210"/>
      <c r="R109" s="210"/>
      <c r="S109" s="269"/>
      <c r="T109" s="270"/>
      <c r="U109" s="210"/>
      <c r="V109" s="210"/>
      <c r="W109" s="210"/>
      <c r="X109" s="210"/>
      <c r="Y109" s="197"/>
      <c r="Z109" s="197"/>
      <c r="AA109" s="210"/>
      <c r="AB109" s="262"/>
      <c r="AC109" s="262"/>
      <c r="AD109" s="271"/>
      <c r="AE109" s="262"/>
      <c r="AF109" s="262"/>
      <c r="AG109" s="262"/>
      <c r="AH109" s="262"/>
      <c r="AI109" s="262"/>
      <c r="AJ109" s="262"/>
      <c r="AK109" s="262"/>
      <c r="AL109" s="262"/>
      <c r="AM109" s="262"/>
      <c r="AN109" s="262"/>
      <c r="AO109" s="262"/>
      <c r="AP109" s="269"/>
      <c r="AQ109" s="280"/>
      <c r="AR109" s="280"/>
      <c r="AS109" s="280"/>
      <c r="AT109" s="210"/>
      <c r="AU109" s="210"/>
      <c r="AV109" s="210"/>
      <c r="AW109" s="210"/>
      <c r="AX109" s="210"/>
      <c r="AY109" s="210"/>
      <c r="AZ109" s="210"/>
      <c r="BA109" s="210"/>
      <c r="BB109" s="210"/>
      <c r="BC109" s="210"/>
      <c r="BD109" s="210"/>
      <c r="BE109" s="210"/>
      <c r="BF109" s="210"/>
      <c r="BG109" s="262"/>
    </row>
    <row r="110" spans="1:59" ht="15.75" customHeight="1" x14ac:dyDescent="0.25">
      <c r="A110" s="262"/>
      <c r="B110" s="262"/>
      <c r="C110" s="210"/>
      <c r="D110" s="210"/>
      <c r="E110" s="263"/>
      <c r="F110" s="264"/>
      <c r="G110" s="265"/>
      <c r="H110" s="266"/>
      <c r="I110" s="267"/>
      <c r="J110" s="210"/>
      <c r="K110" s="210"/>
      <c r="L110" s="197"/>
      <c r="M110" s="197"/>
      <c r="N110" s="210"/>
      <c r="O110" s="268"/>
      <c r="P110" s="268"/>
      <c r="Q110" s="210"/>
      <c r="R110" s="210"/>
      <c r="S110" s="269"/>
      <c r="T110" s="270"/>
      <c r="U110" s="210"/>
      <c r="V110" s="210"/>
      <c r="W110" s="210"/>
      <c r="X110" s="210"/>
      <c r="Y110" s="197"/>
      <c r="Z110" s="197"/>
      <c r="AA110" s="210"/>
      <c r="AB110" s="262"/>
      <c r="AC110" s="262"/>
      <c r="AD110" s="271"/>
      <c r="AE110" s="262"/>
      <c r="AF110" s="262"/>
      <c r="AG110" s="262"/>
      <c r="AH110" s="262"/>
      <c r="AI110" s="262"/>
      <c r="AJ110" s="262"/>
      <c r="AK110" s="262"/>
      <c r="AL110" s="262"/>
      <c r="AM110" s="262"/>
      <c r="AN110" s="262"/>
      <c r="AO110" s="262"/>
      <c r="AP110" s="269"/>
      <c r="AQ110" s="280"/>
      <c r="AR110" s="280"/>
      <c r="AS110" s="280"/>
      <c r="AT110" s="210"/>
      <c r="AU110" s="210"/>
      <c r="AV110" s="210"/>
      <c r="AW110" s="210"/>
      <c r="AX110" s="210"/>
      <c r="AY110" s="210"/>
      <c r="AZ110" s="210"/>
      <c r="BA110" s="210"/>
      <c r="BB110" s="210"/>
      <c r="BC110" s="210"/>
      <c r="BD110" s="210"/>
      <c r="BE110" s="210"/>
      <c r="BF110" s="210"/>
      <c r="BG110" s="262"/>
    </row>
    <row r="111" spans="1:59" ht="15.75" customHeight="1" x14ac:dyDescent="0.25">
      <c r="A111" s="262"/>
      <c r="B111" s="262"/>
      <c r="C111" s="210"/>
      <c r="D111" s="210"/>
      <c r="E111" s="263"/>
      <c r="F111" s="264"/>
      <c r="G111" s="265"/>
      <c r="H111" s="266"/>
      <c r="I111" s="267"/>
      <c r="J111" s="210"/>
      <c r="K111" s="210"/>
      <c r="L111" s="197"/>
      <c r="M111" s="197"/>
      <c r="N111" s="210"/>
      <c r="O111" s="268"/>
      <c r="P111" s="268"/>
      <c r="Q111" s="210"/>
      <c r="R111" s="210"/>
      <c r="S111" s="269"/>
      <c r="T111" s="270"/>
      <c r="U111" s="210"/>
      <c r="V111" s="210"/>
      <c r="W111" s="210"/>
      <c r="X111" s="210"/>
      <c r="Y111" s="197"/>
      <c r="Z111" s="197"/>
      <c r="AA111" s="210"/>
      <c r="AB111" s="262"/>
      <c r="AC111" s="262"/>
      <c r="AD111" s="271"/>
      <c r="AE111" s="262"/>
      <c r="AF111" s="262"/>
      <c r="AG111" s="262"/>
      <c r="AH111" s="262"/>
      <c r="AI111" s="262"/>
      <c r="AJ111" s="262"/>
      <c r="AK111" s="262"/>
      <c r="AL111" s="262"/>
      <c r="AM111" s="262"/>
      <c r="AN111" s="262"/>
      <c r="AO111" s="262"/>
      <c r="AP111" s="269"/>
      <c r="AQ111" s="280"/>
      <c r="AR111" s="280"/>
      <c r="AS111" s="280"/>
      <c r="AT111" s="210"/>
      <c r="AU111" s="210"/>
      <c r="AV111" s="210"/>
      <c r="AW111" s="210"/>
      <c r="AX111" s="210"/>
      <c r="AY111" s="210"/>
      <c r="AZ111" s="210"/>
      <c r="BA111" s="210"/>
      <c r="BB111" s="210"/>
      <c r="BC111" s="210"/>
      <c r="BD111" s="210"/>
      <c r="BE111" s="210"/>
      <c r="BF111" s="210"/>
      <c r="BG111" s="262"/>
    </row>
    <row r="112" spans="1:59" ht="15.75" customHeight="1" x14ac:dyDescent="0.25">
      <c r="A112" s="262"/>
      <c r="B112" s="262"/>
      <c r="C112" s="210"/>
      <c r="D112" s="210"/>
      <c r="E112" s="263"/>
      <c r="F112" s="264"/>
      <c r="G112" s="265"/>
      <c r="H112" s="266"/>
      <c r="I112" s="267"/>
      <c r="J112" s="210"/>
      <c r="K112" s="210"/>
      <c r="L112" s="197"/>
      <c r="M112" s="197"/>
      <c r="N112" s="210"/>
      <c r="O112" s="268"/>
      <c r="P112" s="268"/>
      <c r="Q112" s="210"/>
      <c r="R112" s="210"/>
      <c r="S112" s="269"/>
      <c r="T112" s="270"/>
      <c r="U112" s="210"/>
      <c r="V112" s="210"/>
      <c r="W112" s="210"/>
      <c r="X112" s="210"/>
      <c r="Y112" s="197"/>
      <c r="Z112" s="197"/>
      <c r="AA112" s="210"/>
      <c r="AB112" s="262"/>
      <c r="AC112" s="262"/>
      <c r="AD112" s="271"/>
      <c r="AE112" s="262"/>
      <c r="AF112" s="262"/>
      <c r="AG112" s="262"/>
      <c r="AH112" s="262"/>
      <c r="AI112" s="262"/>
      <c r="AJ112" s="262"/>
      <c r="AK112" s="262"/>
      <c r="AL112" s="262"/>
      <c r="AM112" s="262"/>
      <c r="AN112" s="262"/>
      <c r="AO112" s="262"/>
      <c r="AP112" s="269"/>
      <c r="AQ112" s="280"/>
      <c r="AR112" s="280"/>
      <c r="AS112" s="280"/>
      <c r="AT112" s="210"/>
      <c r="AU112" s="210"/>
      <c r="AV112" s="210"/>
      <c r="AW112" s="210"/>
      <c r="AX112" s="210"/>
      <c r="AY112" s="210"/>
      <c r="AZ112" s="210"/>
      <c r="BA112" s="210"/>
      <c r="BB112" s="210"/>
      <c r="BC112" s="210"/>
      <c r="BD112" s="210"/>
      <c r="BE112" s="210"/>
      <c r="BF112" s="210"/>
      <c r="BG112" s="262"/>
    </row>
    <row r="113" spans="1:59" ht="15.75" customHeight="1" x14ac:dyDescent="0.25">
      <c r="A113" s="262"/>
      <c r="B113" s="262"/>
      <c r="C113" s="210"/>
      <c r="D113" s="210"/>
      <c r="E113" s="263"/>
      <c r="F113" s="264"/>
      <c r="G113" s="265"/>
      <c r="H113" s="266"/>
      <c r="I113" s="267"/>
      <c r="J113" s="210"/>
      <c r="K113" s="210"/>
      <c r="L113" s="197"/>
      <c r="M113" s="197"/>
      <c r="N113" s="210"/>
      <c r="O113" s="268"/>
      <c r="P113" s="268"/>
      <c r="Q113" s="210"/>
      <c r="R113" s="210"/>
      <c r="S113" s="269"/>
      <c r="T113" s="270"/>
      <c r="U113" s="210"/>
      <c r="V113" s="210"/>
      <c r="W113" s="210"/>
      <c r="X113" s="210"/>
      <c r="Y113" s="197"/>
      <c r="Z113" s="197"/>
      <c r="AA113" s="210"/>
      <c r="AB113" s="262"/>
      <c r="AC113" s="262"/>
      <c r="AD113" s="271"/>
      <c r="AE113" s="262"/>
      <c r="AF113" s="262"/>
      <c r="AG113" s="262"/>
      <c r="AH113" s="262"/>
      <c r="AI113" s="262"/>
      <c r="AJ113" s="262"/>
      <c r="AK113" s="262"/>
      <c r="AL113" s="262"/>
      <c r="AM113" s="262"/>
      <c r="AN113" s="262"/>
      <c r="AO113" s="262"/>
      <c r="AP113" s="269"/>
      <c r="AQ113" s="280"/>
      <c r="AR113" s="280"/>
      <c r="AS113" s="280"/>
      <c r="AT113" s="210"/>
      <c r="AU113" s="210"/>
      <c r="AV113" s="210"/>
      <c r="AW113" s="210"/>
      <c r="AX113" s="210"/>
      <c r="AY113" s="210"/>
      <c r="AZ113" s="210"/>
      <c r="BA113" s="210"/>
      <c r="BB113" s="210"/>
      <c r="BC113" s="210"/>
      <c r="BD113" s="210"/>
      <c r="BE113" s="210"/>
      <c r="BF113" s="210"/>
      <c r="BG113" s="262"/>
    </row>
    <row r="114" spans="1:59" ht="15.75" customHeight="1" x14ac:dyDescent="0.25">
      <c r="A114" s="262"/>
      <c r="B114" s="262"/>
      <c r="C114" s="210"/>
      <c r="D114" s="210"/>
      <c r="E114" s="263"/>
      <c r="F114" s="264"/>
      <c r="G114" s="265"/>
      <c r="H114" s="266"/>
      <c r="I114" s="267"/>
      <c r="J114" s="210"/>
      <c r="K114" s="210"/>
      <c r="L114" s="197"/>
      <c r="M114" s="197"/>
      <c r="N114" s="210"/>
      <c r="O114" s="268"/>
      <c r="P114" s="268"/>
      <c r="Q114" s="210"/>
      <c r="R114" s="210"/>
      <c r="S114" s="269"/>
      <c r="T114" s="270"/>
      <c r="U114" s="210"/>
      <c r="V114" s="210"/>
      <c r="W114" s="210"/>
      <c r="X114" s="210"/>
      <c r="Y114" s="197"/>
      <c r="Z114" s="197"/>
      <c r="AA114" s="210"/>
      <c r="AB114" s="262"/>
      <c r="AC114" s="262"/>
      <c r="AD114" s="271"/>
      <c r="AE114" s="262"/>
      <c r="AF114" s="262"/>
      <c r="AG114" s="262"/>
      <c r="AH114" s="262"/>
      <c r="AI114" s="262"/>
      <c r="AJ114" s="262"/>
      <c r="AK114" s="262"/>
      <c r="AL114" s="262"/>
      <c r="AM114" s="262"/>
      <c r="AN114" s="262"/>
      <c r="AO114" s="262"/>
      <c r="AP114" s="269"/>
      <c r="AQ114" s="280"/>
      <c r="AR114" s="280"/>
      <c r="AS114" s="280"/>
      <c r="AT114" s="210"/>
      <c r="AU114" s="210"/>
      <c r="AV114" s="210"/>
      <c r="AW114" s="210"/>
      <c r="AX114" s="210"/>
      <c r="AY114" s="210"/>
      <c r="AZ114" s="210"/>
      <c r="BA114" s="210"/>
      <c r="BB114" s="210"/>
      <c r="BC114" s="210"/>
      <c r="BD114" s="210"/>
      <c r="BE114" s="210"/>
      <c r="BF114" s="210"/>
      <c r="BG114" s="262"/>
    </row>
    <row r="115" spans="1:59" ht="15.75" customHeight="1" x14ac:dyDescent="0.25">
      <c r="A115" s="262"/>
      <c r="B115" s="262"/>
      <c r="C115" s="210"/>
      <c r="D115" s="210"/>
      <c r="E115" s="263"/>
      <c r="F115" s="264"/>
      <c r="G115" s="265"/>
      <c r="H115" s="266"/>
      <c r="I115" s="267"/>
      <c r="J115" s="210"/>
      <c r="K115" s="210"/>
      <c r="L115" s="197"/>
      <c r="M115" s="197"/>
      <c r="N115" s="210"/>
      <c r="O115" s="268"/>
      <c r="P115" s="268"/>
      <c r="Q115" s="210"/>
      <c r="R115" s="210"/>
      <c r="S115" s="269"/>
      <c r="T115" s="270"/>
      <c r="U115" s="210"/>
      <c r="V115" s="210"/>
      <c r="W115" s="210"/>
      <c r="X115" s="210"/>
      <c r="Y115" s="197"/>
      <c r="Z115" s="197"/>
      <c r="AA115" s="210"/>
      <c r="AB115" s="262"/>
      <c r="AC115" s="262"/>
      <c r="AD115" s="271"/>
      <c r="AE115" s="262"/>
      <c r="AF115" s="262"/>
      <c r="AG115" s="262"/>
      <c r="AH115" s="262"/>
      <c r="AI115" s="262"/>
      <c r="AJ115" s="262"/>
      <c r="AK115" s="262"/>
      <c r="AL115" s="262"/>
      <c r="AM115" s="262"/>
      <c r="AN115" s="262"/>
      <c r="AO115" s="262"/>
      <c r="AP115" s="269"/>
      <c r="AQ115" s="280"/>
      <c r="AR115" s="280"/>
      <c r="AS115" s="280"/>
      <c r="AT115" s="210"/>
      <c r="AU115" s="210"/>
      <c r="AV115" s="210"/>
      <c r="AW115" s="210"/>
      <c r="AX115" s="210"/>
      <c r="AY115" s="210"/>
      <c r="AZ115" s="210"/>
      <c r="BA115" s="210"/>
      <c r="BB115" s="210"/>
      <c r="BC115" s="210"/>
      <c r="BD115" s="210"/>
      <c r="BE115" s="210"/>
      <c r="BF115" s="210"/>
      <c r="BG115" s="262"/>
    </row>
    <row r="116" spans="1:59" ht="15.75" customHeight="1" x14ac:dyDescent="0.25">
      <c r="A116" s="262"/>
      <c r="B116" s="262"/>
      <c r="C116" s="210"/>
      <c r="D116" s="210"/>
      <c r="E116" s="263"/>
      <c r="F116" s="264"/>
      <c r="G116" s="265"/>
      <c r="H116" s="266"/>
      <c r="I116" s="267"/>
      <c r="J116" s="210"/>
      <c r="K116" s="210"/>
      <c r="L116" s="197"/>
      <c r="M116" s="197"/>
      <c r="N116" s="210"/>
      <c r="O116" s="268"/>
      <c r="P116" s="268"/>
      <c r="Q116" s="210"/>
      <c r="R116" s="210"/>
      <c r="S116" s="269"/>
      <c r="T116" s="270"/>
      <c r="U116" s="210"/>
      <c r="V116" s="210"/>
      <c r="W116" s="210"/>
      <c r="X116" s="210"/>
      <c r="Y116" s="197"/>
      <c r="Z116" s="197"/>
      <c r="AA116" s="210"/>
      <c r="AB116" s="262"/>
      <c r="AC116" s="262"/>
      <c r="AD116" s="271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9"/>
      <c r="AQ116" s="280"/>
      <c r="AR116" s="280"/>
      <c r="AS116" s="280"/>
      <c r="AT116" s="210"/>
      <c r="AU116" s="210"/>
      <c r="AV116" s="210"/>
      <c r="AW116" s="210"/>
      <c r="AX116" s="210"/>
      <c r="AY116" s="210"/>
      <c r="AZ116" s="210"/>
      <c r="BA116" s="210"/>
      <c r="BB116" s="210"/>
      <c r="BC116" s="210"/>
      <c r="BD116" s="210"/>
      <c r="BE116" s="210"/>
      <c r="BF116" s="210"/>
      <c r="BG116" s="262"/>
    </row>
    <row r="117" spans="1:59" ht="15.75" customHeight="1" x14ac:dyDescent="0.25">
      <c r="A117" s="262"/>
      <c r="B117" s="262"/>
      <c r="C117" s="210"/>
      <c r="D117" s="210"/>
      <c r="E117" s="263"/>
      <c r="F117" s="264"/>
      <c r="G117" s="265"/>
      <c r="H117" s="266"/>
      <c r="I117" s="267"/>
      <c r="J117" s="210"/>
      <c r="K117" s="210"/>
      <c r="L117" s="197"/>
      <c r="M117" s="197"/>
      <c r="N117" s="210"/>
      <c r="O117" s="268"/>
      <c r="P117" s="268"/>
      <c r="Q117" s="210"/>
      <c r="R117" s="210"/>
      <c r="S117" s="269"/>
      <c r="T117" s="270"/>
      <c r="U117" s="210"/>
      <c r="V117" s="210"/>
      <c r="W117" s="210"/>
      <c r="X117" s="210"/>
      <c r="Y117" s="197"/>
      <c r="Z117" s="197"/>
      <c r="AA117" s="210"/>
      <c r="AB117" s="262"/>
      <c r="AC117" s="262"/>
      <c r="AD117" s="271"/>
      <c r="AE117" s="262"/>
      <c r="AF117" s="262"/>
      <c r="AG117" s="262"/>
      <c r="AH117" s="262"/>
      <c r="AI117" s="262"/>
      <c r="AJ117" s="262"/>
      <c r="AK117" s="262"/>
      <c r="AL117" s="262"/>
      <c r="AM117" s="262"/>
      <c r="AN117" s="262"/>
      <c r="AO117" s="262"/>
      <c r="AP117" s="269"/>
      <c r="AQ117" s="280"/>
      <c r="AR117" s="280"/>
      <c r="AS117" s="280"/>
      <c r="AT117" s="210"/>
      <c r="AU117" s="210"/>
      <c r="AV117" s="210"/>
      <c r="AW117" s="210"/>
      <c r="AX117" s="210"/>
      <c r="AY117" s="210"/>
      <c r="AZ117" s="210"/>
      <c r="BA117" s="210"/>
      <c r="BB117" s="210"/>
      <c r="BC117" s="210"/>
      <c r="BD117" s="210"/>
      <c r="BE117" s="210"/>
      <c r="BF117" s="210"/>
      <c r="BG117" s="262"/>
    </row>
    <row r="118" spans="1:59" ht="15.75" customHeight="1" x14ac:dyDescent="0.25">
      <c r="A118" s="262"/>
      <c r="B118" s="262"/>
      <c r="C118" s="210"/>
      <c r="D118" s="210"/>
      <c r="E118" s="263"/>
      <c r="F118" s="264"/>
      <c r="G118" s="265"/>
      <c r="H118" s="266"/>
      <c r="I118" s="267"/>
      <c r="J118" s="210"/>
      <c r="K118" s="210"/>
      <c r="L118" s="197"/>
      <c r="M118" s="197"/>
      <c r="N118" s="210"/>
      <c r="O118" s="268"/>
      <c r="P118" s="268"/>
      <c r="Q118" s="210"/>
      <c r="R118" s="210"/>
      <c r="S118" s="269"/>
      <c r="T118" s="270"/>
      <c r="U118" s="210"/>
      <c r="V118" s="210"/>
      <c r="W118" s="210"/>
      <c r="X118" s="210"/>
      <c r="Y118" s="197"/>
      <c r="Z118" s="197"/>
      <c r="AA118" s="210"/>
      <c r="AB118" s="262"/>
      <c r="AC118" s="262"/>
      <c r="AD118" s="271"/>
      <c r="AE118" s="262"/>
      <c r="AF118" s="262"/>
      <c r="AG118" s="262"/>
      <c r="AH118" s="262"/>
      <c r="AI118" s="262"/>
      <c r="AJ118" s="262"/>
      <c r="AK118" s="262"/>
      <c r="AL118" s="262"/>
      <c r="AM118" s="262"/>
      <c r="AN118" s="262"/>
      <c r="AO118" s="262"/>
      <c r="AP118" s="269"/>
      <c r="AQ118" s="280"/>
      <c r="AR118" s="280"/>
      <c r="AS118" s="280"/>
      <c r="AT118" s="210"/>
      <c r="AU118" s="210"/>
      <c r="AV118" s="210"/>
      <c r="AW118" s="210"/>
      <c r="AX118" s="210"/>
      <c r="AY118" s="210"/>
      <c r="AZ118" s="210"/>
      <c r="BA118" s="210"/>
      <c r="BB118" s="210"/>
      <c r="BC118" s="210"/>
      <c r="BD118" s="210"/>
      <c r="BE118" s="210"/>
      <c r="BF118" s="210"/>
      <c r="BG118" s="262"/>
    </row>
    <row r="119" spans="1:59" ht="15.75" customHeight="1" x14ac:dyDescent="0.25">
      <c r="A119" s="262"/>
      <c r="B119" s="262"/>
      <c r="C119" s="210"/>
      <c r="D119" s="210"/>
      <c r="E119" s="263"/>
      <c r="F119" s="264"/>
      <c r="G119" s="265"/>
      <c r="H119" s="266"/>
      <c r="I119" s="267"/>
      <c r="J119" s="210"/>
      <c r="K119" s="210"/>
      <c r="L119" s="197"/>
      <c r="M119" s="197"/>
      <c r="N119" s="210"/>
      <c r="O119" s="268"/>
      <c r="P119" s="268"/>
      <c r="Q119" s="210"/>
      <c r="R119" s="210"/>
      <c r="S119" s="269"/>
      <c r="T119" s="270"/>
      <c r="U119" s="210"/>
      <c r="V119" s="210"/>
      <c r="W119" s="210"/>
      <c r="X119" s="210"/>
      <c r="Y119" s="197"/>
      <c r="Z119" s="197"/>
      <c r="AA119" s="210"/>
      <c r="AB119" s="262"/>
      <c r="AC119" s="262"/>
      <c r="AD119" s="271"/>
      <c r="AE119" s="262"/>
      <c r="AF119" s="262"/>
      <c r="AG119" s="262"/>
      <c r="AH119" s="262"/>
      <c r="AI119" s="262"/>
      <c r="AJ119" s="262"/>
      <c r="AK119" s="262"/>
      <c r="AL119" s="262"/>
      <c r="AM119" s="262"/>
      <c r="AN119" s="262"/>
      <c r="AO119" s="262"/>
      <c r="AP119" s="269"/>
      <c r="AQ119" s="280"/>
      <c r="AR119" s="280"/>
      <c r="AS119" s="280"/>
      <c r="AT119" s="210"/>
      <c r="AU119" s="210"/>
      <c r="AV119" s="210"/>
      <c r="AW119" s="210"/>
      <c r="AX119" s="210"/>
      <c r="AY119" s="210"/>
      <c r="AZ119" s="210"/>
      <c r="BA119" s="210"/>
      <c r="BB119" s="210"/>
      <c r="BC119" s="210"/>
      <c r="BD119" s="210"/>
      <c r="BE119" s="210"/>
      <c r="BF119" s="210"/>
      <c r="BG119" s="262"/>
    </row>
    <row r="120" spans="1:59" ht="15.75" customHeight="1" x14ac:dyDescent="0.25">
      <c r="A120" s="262"/>
      <c r="B120" s="262"/>
      <c r="C120" s="210"/>
      <c r="D120" s="210"/>
      <c r="E120" s="263"/>
      <c r="F120" s="264"/>
      <c r="G120" s="265"/>
      <c r="H120" s="266"/>
      <c r="I120" s="267"/>
      <c r="J120" s="210"/>
      <c r="K120" s="210"/>
      <c r="L120" s="197"/>
      <c r="M120" s="197"/>
      <c r="N120" s="210"/>
      <c r="O120" s="268"/>
      <c r="P120" s="268"/>
      <c r="Q120" s="210"/>
      <c r="R120" s="210"/>
      <c r="S120" s="269"/>
      <c r="T120" s="270"/>
      <c r="U120" s="210"/>
      <c r="V120" s="210"/>
      <c r="W120" s="210"/>
      <c r="X120" s="210"/>
      <c r="Y120" s="197"/>
      <c r="Z120" s="197"/>
      <c r="AA120" s="210"/>
      <c r="AB120" s="262"/>
      <c r="AC120" s="262"/>
      <c r="AD120" s="271"/>
      <c r="AE120" s="262"/>
      <c r="AF120" s="262"/>
      <c r="AG120" s="262"/>
      <c r="AH120" s="262"/>
      <c r="AI120" s="262"/>
      <c r="AJ120" s="262"/>
      <c r="AK120" s="262"/>
      <c r="AL120" s="262"/>
      <c r="AM120" s="262"/>
      <c r="AN120" s="262"/>
      <c r="AO120" s="262"/>
      <c r="AP120" s="269"/>
      <c r="AQ120" s="280"/>
      <c r="AR120" s="280"/>
      <c r="AS120" s="280"/>
      <c r="AT120" s="210"/>
      <c r="AU120" s="210"/>
      <c r="AV120" s="210"/>
      <c r="AW120" s="210"/>
      <c r="AX120" s="210"/>
      <c r="AY120" s="210"/>
      <c r="AZ120" s="210"/>
      <c r="BA120" s="210"/>
      <c r="BB120" s="210"/>
      <c r="BC120" s="210"/>
      <c r="BD120" s="210"/>
      <c r="BE120" s="210"/>
      <c r="BF120" s="210"/>
      <c r="BG120" s="262"/>
    </row>
    <row r="121" spans="1:59" ht="15.75" customHeight="1" x14ac:dyDescent="0.25">
      <c r="A121" s="262"/>
      <c r="B121" s="262"/>
      <c r="C121" s="210"/>
      <c r="D121" s="210"/>
      <c r="E121" s="263"/>
      <c r="F121" s="264"/>
      <c r="G121" s="265"/>
      <c r="H121" s="266"/>
      <c r="I121" s="267"/>
      <c r="J121" s="210"/>
      <c r="K121" s="210"/>
      <c r="L121" s="197"/>
      <c r="M121" s="197"/>
      <c r="N121" s="210"/>
      <c r="O121" s="268"/>
      <c r="P121" s="268"/>
      <c r="Q121" s="210"/>
      <c r="R121" s="210"/>
      <c r="S121" s="269"/>
      <c r="T121" s="270"/>
      <c r="U121" s="210"/>
      <c r="V121" s="210"/>
      <c r="W121" s="210"/>
      <c r="X121" s="210"/>
      <c r="Y121" s="197"/>
      <c r="Z121" s="197"/>
      <c r="AA121" s="210"/>
      <c r="AB121" s="262"/>
      <c r="AC121" s="262"/>
      <c r="AD121" s="271"/>
      <c r="AE121" s="262"/>
      <c r="AF121" s="262"/>
      <c r="AG121" s="262"/>
      <c r="AH121" s="262"/>
      <c r="AI121" s="262"/>
      <c r="AJ121" s="262"/>
      <c r="AK121" s="262"/>
      <c r="AL121" s="262"/>
      <c r="AM121" s="262"/>
      <c r="AN121" s="262"/>
      <c r="AO121" s="262"/>
      <c r="AP121" s="269"/>
      <c r="AQ121" s="280"/>
      <c r="AR121" s="280"/>
      <c r="AS121" s="280"/>
      <c r="AT121" s="210"/>
      <c r="AU121" s="210"/>
      <c r="AV121" s="210"/>
      <c r="AW121" s="210"/>
      <c r="AX121" s="210"/>
      <c r="AY121" s="210"/>
      <c r="AZ121" s="210"/>
      <c r="BA121" s="210"/>
      <c r="BB121" s="210"/>
      <c r="BC121" s="210"/>
      <c r="BD121" s="210"/>
      <c r="BE121" s="210"/>
      <c r="BF121" s="210"/>
      <c r="BG121" s="262"/>
    </row>
    <row r="122" spans="1:59" ht="15.75" customHeight="1" x14ac:dyDescent="0.25">
      <c r="A122" s="262"/>
      <c r="B122" s="262"/>
      <c r="C122" s="210"/>
      <c r="D122" s="210"/>
      <c r="E122" s="263"/>
      <c r="F122" s="264"/>
      <c r="G122" s="265"/>
      <c r="H122" s="266"/>
      <c r="I122" s="267"/>
      <c r="J122" s="210"/>
      <c r="K122" s="210"/>
      <c r="L122" s="197"/>
      <c r="M122" s="197"/>
      <c r="N122" s="210"/>
      <c r="O122" s="268"/>
      <c r="P122" s="268"/>
      <c r="Q122" s="210"/>
      <c r="R122" s="210"/>
      <c r="S122" s="269"/>
      <c r="T122" s="270"/>
      <c r="U122" s="210"/>
      <c r="V122" s="210"/>
      <c r="W122" s="210"/>
      <c r="X122" s="210"/>
      <c r="Y122" s="197"/>
      <c r="Z122" s="197"/>
      <c r="AA122" s="210"/>
      <c r="AB122" s="262"/>
      <c r="AC122" s="262"/>
      <c r="AD122" s="271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9"/>
      <c r="AQ122" s="280"/>
      <c r="AR122" s="280"/>
      <c r="AS122" s="280"/>
      <c r="AT122" s="210"/>
      <c r="AU122" s="210"/>
      <c r="AV122" s="210"/>
      <c r="AW122" s="210"/>
      <c r="AX122" s="210"/>
      <c r="AY122" s="210"/>
      <c r="AZ122" s="210"/>
      <c r="BA122" s="210"/>
      <c r="BB122" s="210"/>
      <c r="BC122" s="210"/>
      <c r="BD122" s="210"/>
      <c r="BE122" s="210"/>
      <c r="BF122" s="210"/>
      <c r="BG122" s="262"/>
    </row>
    <row r="123" spans="1:59" ht="15.75" customHeight="1" x14ac:dyDescent="0.25"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Q123" s="83"/>
      <c r="AR123" s="83"/>
      <c r="AS123" s="83"/>
      <c r="AT123" s="53"/>
    </row>
    <row r="124" spans="1:59" ht="15.75" customHeight="1" x14ac:dyDescent="0.25"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Q124" s="83"/>
      <c r="AR124" s="83"/>
      <c r="AS124" s="83"/>
      <c r="AT124" s="53"/>
    </row>
    <row r="125" spans="1:59" ht="15.75" customHeight="1" x14ac:dyDescent="0.25"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Q125" s="83"/>
      <c r="AR125" s="83"/>
      <c r="AS125" s="83"/>
      <c r="AT125" s="53"/>
    </row>
    <row r="126" spans="1:59" ht="15.75" customHeight="1" x14ac:dyDescent="0.25"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Q126" s="83"/>
      <c r="AR126" s="83"/>
      <c r="AS126" s="83"/>
      <c r="AT126" s="53"/>
    </row>
    <row r="127" spans="1:59" ht="15.75" customHeight="1" x14ac:dyDescent="0.25"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Q127" s="83"/>
      <c r="AR127" s="83"/>
      <c r="AS127" s="83"/>
      <c r="AT127" s="53"/>
    </row>
    <row r="128" spans="1:59" ht="15.75" customHeight="1" x14ac:dyDescent="0.25"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Q128" s="83"/>
      <c r="AR128" s="83"/>
      <c r="AS128" s="83"/>
      <c r="AT128" s="53"/>
    </row>
    <row r="129" spans="32:46" ht="15.75" customHeight="1" x14ac:dyDescent="0.25"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Q129" s="83"/>
      <c r="AR129" s="83"/>
      <c r="AS129" s="83"/>
      <c r="AT129" s="53"/>
    </row>
    <row r="130" spans="32:46" ht="15.75" customHeight="1" x14ac:dyDescent="0.25"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Q130" s="83"/>
      <c r="AR130" s="83"/>
      <c r="AS130" s="83"/>
      <c r="AT130" s="53"/>
    </row>
    <row r="131" spans="32:46" ht="15.75" customHeight="1" x14ac:dyDescent="0.25"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Q131" s="83"/>
      <c r="AR131" s="83"/>
      <c r="AS131" s="83"/>
      <c r="AT131" s="53"/>
    </row>
    <row r="132" spans="32:46" ht="15.75" customHeight="1" x14ac:dyDescent="0.25"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Q132" s="83"/>
      <c r="AR132" s="83"/>
      <c r="AS132" s="83"/>
      <c r="AT132" s="53"/>
    </row>
    <row r="133" spans="32:46" ht="15.75" customHeight="1" x14ac:dyDescent="0.25"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Q133" s="83"/>
      <c r="AR133" s="83"/>
      <c r="AS133" s="83"/>
      <c r="AT133" s="53"/>
    </row>
    <row r="134" spans="32:46" ht="15.75" customHeight="1" x14ac:dyDescent="0.25"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Q134" s="83"/>
      <c r="AR134" s="83"/>
      <c r="AS134" s="83"/>
      <c r="AT134" s="53"/>
    </row>
    <row r="135" spans="32:46" ht="15.75" customHeight="1" x14ac:dyDescent="0.25"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Q135" s="83"/>
      <c r="AR135" s="83"/>
      <c r="AS135" s="83"/>
      <c r="AT135" s="53"/>
    </row>
    <row r="136" spans="32:46" ht="15.75" customHeight="1" x14ac:dyDescent="0.25"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Q136" s="83"/>
      <c r="AR136" s="83"/>
      <c r="AS136" s="83"/>
      <c r="AT136" s="53"/>
    </row>
    <row r="137" spans="32:46" ht="15.75" customHeight="1" x14ac:dyDescent="0.25"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Q137" s="83"/>
      <c r="AR137" s="83"/>
      <c r="AS137" s="83"/>
      <c r="AT137" s="53"/>
    </row>
    <row r="138" spans="32:46" ht="15.75" customHeight="1" x14ac:dyDescent="0.25"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Q138" s="83"/>
      <c r="AR138" s="83"/>
      <c r="AS138" s="83"/>
      <c r="AT138" s="53"/>
    </row>
    <row r="139" spans="32:46" ht="15.75" customHeight="1" x14ac:dyDescent="0.25"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Q139" s="83"/>
      <c r="AR139" s="83"/>
      <c r="AS139" s="83"/>
      <c r="AT139" s="53"/>
    </row>
    <row r="140" spans="32:46" ht="15.75" customHeight="1" x14ac:dyDescent="0.25"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Q140" s="83"/>
      <c r="AR140" s="83"/>
      <c r="AS140" s="83"/>
      <c r="AT140" s="53"/>
    </row>
    <row r="141" spans="32:46" ht="15.75" customHeight="1" x14ac:dyDescent="0.25"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Q141" s="83"/>
      <c r="AR141" s="83"/>
      <c r="AS141" s="83"/>
      <c r="AT141" s="53"/>
    </row>
    <row r="142" spans="32:46" ht="15.75" customHeight="1" x14ac:dyDescent="0.25"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Q142" s="83"/>
      <c r="AR142" s="83"/>
      <c r="AS142" s="83"/>
      <c r="AT142" s="53"/>
    </row>
    <row r="143" spans="32:46" ht="15.75" customHeight="1" x14ac:dyDescent="0.25"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Q143" s="83"/>
      <c r="AR143" s="83"/>
      <c r="AS143" s="83"/>
      <c r="AT143" s="53"/>
    </row>
    <row r="144" spans="32:46" ht="15.75" customHeight="1" x14ac:dyDescent="0.25"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Q144" s="83"/>
      <c r="AR144" s="83"/>
      <c r="AS144" s="83"/>
      <c r="AT144" s="53"/>
    </row>
    <row r="145" spans="32:46" ht="15.75" customHeight="1" x14ac:dyDescent="0.25"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Q145" s="83"/>
      <c r="AR145" s="83"/>
      <c r="AS145" s="83"/>
      <c r="AT145" s="53"/>
    </row>
    <row r="146" spans="32:46" ht="15.75" customHeight="1" x14ac:dyDescent="0.25"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Q146" s="83"/>
      <c r="AR146" s="83"/>
      <c r="AS146" s="83"/>
      <c r="AT146" s="53"/>
    </row>
    <row r="147" spans="32:46" ht="15.75" customHeight="1" x14ac:dyDescent="0.25"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Q147" s="83"/>
      <c r="AR147" s="83"/>
      <c r="AS147" s="83"/>
      <c r="AT147" s="53"/>
    </row>
    <row r="148" spans="32:46" ht="15.75" customHeight="1" x14ac:dyDescent="0.25"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Q148" s="83"/>
      <c r="AR148" s="83"/>
      <c r="AS148" s="83"/>
      <c r="AT148" s="53"/>
    </row>
    <row r="149" spans="32:46" ht="15.75" customHeight="1" x14ac:dyDescent="0.25"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Q149" s="83"/>
      <c r="AR149" s="83"/>
      <c r="AS149" s="83"/>
      <c r="AT149" s="53"/>
    </row>
    <row r="150" spans="32:46" ht="15.75" customHeight="1" x14ac:dyDescent="0.25"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Q150" s="83"/>
      <c r="AR150" s="83"/>
      <c r="AS150" s="83"/>
      <c r="AT150" s="53"/>
    </row>
    <row r="151" spans="32:46" ht="15.75" customHeight="1" x14ac:dyDescent="0.25"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Q151" s="83"/>
      <c r="AR151" s="83"/>
      <c r="AS151" s="83"/>
      <c r="AT151" s="53"/>
    </row>
    <row r="152" spans="32:46" ht="15.75" customHeight="1" x14ac:dyDescent="0.25"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Q152" s="83"/>
      <c r="AR152" s="83"/>
      <c r="AS152" s="83"/>
      <c r="AT152" s="53"/>
    </row>
    <row r="153" spans="32:46" ht="15.75" customHeight="1" x14ac:dyDescent="0.25"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Q153" s="83"/>
      <c r="AR153" s="83"/>
      <c r="AS153" s="83"/>
      <c r="AT153" s="53"/>
    </row>
    <row r="154" spans="32:46" ht="15.75" customHeight="1" x14ac:dyDescent="0.25"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Q154" s="83"/>
      <c r="AR154" s="83"/>
      <c r="AS154" s="83"/>
      <c r="AT154" s="53"/>
    </row>
    <row r="155" spans="32:46" ht="15.75" customHeight="1" x14ac:dyDescent="0.25"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Q155" s="83"/>
      <c r="AR155" s="83"/>
      <c r="AS155" s="83"/>
      <c r="AT155" s="53"/>
    </row>
    <row r="156" spans="32:46" ht="15.75" customHeight="1" x14ac:dyDescent="0.25"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Q156" s="83"/>
      <c r="AR156" s="83"/>
      <c r="AS156" s="83"/>
      <c r="AT156" s="53"/>
    </row>
    <row r="157" spans="32:46" ht="15.75" customHeight="1" x14ac:dyDescent="0.25"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Q157" s="83"/>
      <c r="AR157" s="83"/>
      <c r="AS157" s="83"/>
      <c r="AT157" s="53"/>
    </row>
    <row r="158" spans="32:46" ht="15.75" customHeight="1" x14ac:dyDescent="0.25"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Q158" s="83"/>
      <c r="AR158" s="83"/>
      <c r="AS158" s="83"/>
      <c r="AT158" s="53"/>
    </row>
    <row r="159" spans="32:46" ht="15.75" customHeight="1" x14ac:dyDescent="0.25"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Q159" s="83"/>
      <c r="AR159" s="83"/>
      <c r="AS159" s="83"/>
      <c r="AT159" s="53"/>
    </row>
    <row r="160" spans="32:46" ht="15.75" customHeight="1" x14ac:dyDescent="0.25"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Q160" s="83"/>
      <c r="AR160" s="83"/>
      <c r="AS160" s="83"/>
      <c r="AT160" s="53"/>
    </row>
    <row r="161" spans="32:46" ht="15.75" customHeight="1" x14ac:dyDescent="0.25"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Q161" s="83"/>
      <c r="AR161" s="83"/>
      <c r="AS161" s="83"/>
      <c r="AT161" s="53"/>
    </row>
    <row r="162" spans="32:46" ht="15.75" customHeight="1" x14ac:dyDescent="0.25"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Q162" s="83"/>
      <c r="AR162" s="83"/>
      <c r="AS162" s="83"/>
      <c r="AT162" s="53"/>
    </row>
    <row r="163" spans="32:46" ht="15.75" customHeight="1" x14ac:dyDescent="0.25"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Q163" s="83"/>
      <c r="AR163" s="83"/>
      <c r="AS163" s="83"/>
      <c r="AT163" s="53"/>
    </row>
    <row r="164" spans="32:46" ht="15.75" customHeight="1" x14ac:dyDescent="0.25"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Q164" s="83"/>
      <c r="AR164" s="83"/>
      <c r="AS164" s="83"/>
      <c r="AT164" s="53"/>
    </row>
    <row r="165" spans="32:46" ht="15.75" customHeight="1" x14ac:dyDescent="0.25"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Q165" s="83"/>
      <c r="AR165" s="83"/>
      <c r="AS165" s="83"/>
      <c r="AT165" s="53"/>
    </row>
    <row r="166" spans="32:46" ht="15.75" customHeight="1" x14ac:dyDescent="0.25"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Q166" s="83"/>
      <c r="AR166" s="83"/>
      <c r="AS166" s="83"/>
      <c r="AT166" s="53"/>
    </row>
    <row r="167" spans="32:46" ht="15.75" customHeight="1" x14ac:dyDescent="0.25"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Q167" s="83"/>
      <c r="AR167" s="83"/>
      <c r="AS167" s="83"/>
      <c r="AT167" s="53"/>
    </row>
    <row r="168" spans="32:46" ht="15.75" customHeight="1" x14ac:dyDescent="0.25"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Q168" s="83"/>
      <c r="AR168" s="83"/>
      <c r="AS168" s="83"/>
      <c r="AT168" s="53"/>
    </row>
    <row r="169" spans="32:46" ht="15.75" customHeight="1" x14ac:dyDescent="0.25"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Q169" s="83"/>
      <c r="AR169" s="83"/>
      <c r="AS169" s="83"/>
      <c r="AT169" s="53"/>
    </row>
    <row r="170" spans="32:46" ht="15.75" customHeight="1" x14ac:dyDescent="0.25"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Q170" s="83"/>
      <c r="AR170" s="83"/>
      <c r="AS170" s="83"/>
      <c r="AT170" s="53"/>
    </row>
    <row r="171" spans="32:46" ht="15.75" customHeight="1" x14ac:dyDescent="0.25"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Q171" s="83"/>
      <c r="AR171" s="83"/>
      <c r="AS171" s="83"/>
      <c r="AT171" s="53"/>
    </row>
    <row r="172" spans="32:46" ht="15.75" customHeight="1" x14ac:dyDescent="0.25"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Q172" s="83"/>
      <c r="AR172" s="83"/>
      <c r="AS172" s="83"/>
      <c r="AT172" s="53"/>
    </row>
    <row r="173" spans="32:46" ht="15.75" customHeight="1" x14ac:dyDescent="0.25"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Q173" s="83"/>
      <c r="AR173" s="83"/>
      <c r="AS173" s="83"/>
      <c r="AT173" s="53"/>
    </row>
    <row r="174" spans="32:46" ht="15.75" customHeight="1" x14ac:dyDescent="0.25"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Q174" s="83"/>
      <c r="AR174" s="83"/>
      <c r="AS174" s="83"/>
      <c r="AT174" s="53"/>
    </row>
    <row r="175" spans="32:46" ht="15.75" customHeight="1" x14ac:dyDescent="0.25"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Q175" s="83"/>
      <c r="AR175" s="83"/>
      <c r="AS175" s="83"/>
      <c r="AT175" s="53"/>
    </row>
    <row r="176" spans="32:46" ht="15.75" customHeight="1" x14ac:dyDescent="0.25"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Q176" s="83"/>
      <c r="AR176" s="83"/>
      <c r="AS176" s="83"/>
      <c r="AT176" s="53"/>
    </row>
    <row r="177" spans="32:46" ht="15.75" customHeight="1" x14ac:dyDescent="0.25"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Q177" s="83"/>
      <c r="AR177" s="83"/>
      <c r="AS177" s="83"/>
      <c r="AT177" s="53"/>
    </row>
    <row r="178" spans="32:46" ht="15.75" customHeight="1" x14ac:dyDescent="0.25"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Q178" s="83"/>
      <c r="AR178" s="83"/>
      <c r="AS178" s="83"/>
      <c r="AT178" s="53"/>
    </row>
    <row r="179" spans="32:46" ht="15.75" customHeight="1" x14ac:dyDescent="0.25"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Q179" s="83"/>
      <c r="AR179" s="83"/>
      <c r="AS179" s="83"/>
      <c r="AT179" s="53"/>
    </row>
    <row r="180" spans="32:46" ht="15.75" customHeight="1" x14ac:dyDescent="0.25"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Q180" s="83"/>
      <c r="AR180" s="83"/>
      <c r="AS180" s="83"/>
      <c r="AT180" s="53"/>
    </row>
    <row r="181" spans="32:46" ht="15.75" customHeight="1" x14ac:dyDescent="0.25"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Q181" s="83"/>
      <c r="AR181" s="83"/>
      <c r="AS181" s="83"/>
      <c r="AT181" s="53"/>
    </row>
    <row r="182" spans="32:46" ht="15.75" customHeight="1" x14ac:dyDescent="0.25"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Q182" s="83"/>
      <c r="AR182" s="83"/>
      <c r="AS182" s="83"/>
      <c r="AT182" s="53"/>
    </row>
    <row r="183" spans="32:46" ht="15.75" customHeight="1" x14ac:dyDescent="0.25"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Q183" s="83"/>
      <c r="AR183" s="83"/>
      <c r="AS183" s="83"/>
      <c r="AT183" s="53"/>
    </row>
    <row r="184" spans="32:46" ht="15.75" customHeight="1" x14ac:dyDescent="0.25"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Q184" s="83"/>
      <c r="AR184" s="83"/>
      <c r="AS184" s="83"/>
      <c r="AT184" s="53"/>
    </row>
    <row r="185" spans="32:46" ht="15.75" customHeight="1" x14ac:dyDescent="0.25"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Q185" s="83"/>
      <c r="AR185" s="83"/>
      <c r="AS185" s="83"/>
      <c r="AT185" s="53"/>
    </row>
    <row r="186" spans="32:46" ht="15.75" customHeight="1" x14ac:dyDescent="0.25"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Q186" s="83"/>
      <c r="AR186" s="83"/>
      <c r="AS186" s="83"/>
      <c r="AT186" s="53"/>
    </row>
    <row r="187" spans="32:46" ht="15.75" customHeight="1" x14ac:dyDescent="0.25"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Q187" s="83"/>
      <c r="AR187" s="83"/>
      <c r="AS187" s="83"/>
      <c r="AT187" s="53"/>
    </row>
    <row r="188" spans="32:46" ht="15.75" customHeight="1" x14ac:dyDescent="0.25"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Q188" s="83"/>
      <c r="AR188" s="83"/>
      <c r="AS188" s="83"/>
      <c r="AT188" s="53"/>
    </row>
    <row r="189" spans="32:46" ht="15.75" customHeight="1" x14ac:dyDescent="0.25"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Q189" s="83"/>
      <c r="AR189" s="83"/>
      <c r="AS189" s="83"/>
      <c r="AT189" s="53"/>
    </row>
    <row r="190" spans="32:46" ht="15.75" customHeight="1" x14ac:dyDescent="0.25"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Q190" s="83"/>
      <c r="AR190" s="83"/>
      <c r="AS190" s="83"/>
      <c r="AT190" s="53"/>
    </row>
    <row r="191" spans="32:46" ht="15.75" customHeight="1" x14ac:dyDescent="0.25"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Q191" s="83"/>
      <c r="AR191" s="83"/>
      <c r="AS191" s="83"/>
      <c r="AT191" s="53"/>
    </row>
    <row r="192" spans="32:46" ht="15.75" customHeight="1" x14ac:dyDescent="0.25"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Q192" s="83"/>
      <c r="AR192" s="83"/>
      <c r="AS192" s="83"/>
      <c r="AT192" s="53"/>
    </row>
    <row r="193" spans="32:46" ht="15.75" customHeight="1" x14ac:dyDescent="0.25"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Q193" s="83"/>
      <c r="AR193" s="83"/>
      <c r="AS193" s="83"/>
      <c r="AT193" s="53"/>
    </row>
    <row r="194" spans="32:46" ht="15.75" customHeight="1" x14ac:dyDescent="0.25"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Q194" s="83"/>
      <c r="AR194" s="83"/>
      <c r="AS194" s="83"/>
      <c r="AT194" s="53"/>
    </row>
    <row r="195" spans="32:46" ht="15.75" customHeight="1" x14ac:dyDescent="0.25"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Q195" s="83"/>
      <c r="AR195" s="83"/>
      <c r="AS195" s="83"/>
      <c r="AT195" s="53"/>
    </row>
    <row r="196" spans="32:46" ht="15.75" customHeight="1" x14ac:dyDescent="0.25"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Q196" s="83"/>
      <c r="AR196" s="83"/>
      <c r="AS196" s="83"/>
      <c r="AT196" s="53"/>
    </row>
    <row r="197" spans="32:46" ht="15.75" customHeight="1" x14ac:dyDescent="0.25"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Q197" s="83"/>
      <c r="AR197" s="83"/>
      <c r="AS197" s="83"/>
      <c r="AT197" s="53"/>
    </row>
    <row r="198" spans="32:46" ht="15.75" customHeight="1" x14ac:dyDescent="0.25"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Q198" s="83"/>
      <c r="AR198" s="83"/>
      <c r="AS198" s="83"/>
      <c r="AT198" s="53"/>
    </row>
    <row r="199" spans="32:46" ht="15.75" customHeight="1" x14ac:dyDescent="0.25"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Q199" s="83"/>
      <c r="AR199" s="83"/>
      <c r="AS199" s="83"/>
      <c r="AT199" s="53"/>
    </row>
    <row r="200" spans="32:46" ht="15.75" customHeight="1" x14ac:dyDescent="0.25"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Q200" s="83"/>
      <c r="AR200" s="83"/>
      <c r="AS200" s="83"/>
      <c r="AT200" s="53"/>
    </row>
    <row r="201" spans="32:46" ht="15.75" customHeight="1" x14ac:dyDescent="0.25"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Q201" s="83"/>
      <c r="AR201" s="83"/>
      <c r="AS201" s="83"/>
      <c r="AT201" s="53"/>
    </row>
    <row r="202" spans="32:46" ht="15.75" customHeight="1" x14ac:dyDescent="0.25"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Q202" s="83"/>
      <c r="AR202" s="83"/>
      <c r="AS202" s="83"/>
      <c r="AT202" s="53"/>
    </row>
    <row r="203" spans="32:46" ht="15.75" customHeight="1" x14ac:dyDescent="0.25"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Q203" s="83"/>
      <c r="AR203" s="83"/>
      <c r="AS203" s="83"/>
      <c r="AT203" s="53"/>
    </row>
    <row r="204" spans="32:46" ht="15.75" customHeight="1" x14ac:dyDescent="0.25"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Q204" s="83"/>
      <c r="AR204" s="83"/>
      <c r="AS204" s="83"/>
      <c r="AT204" s="53"/>
    </row>
    <row r="205" spans="32:46" ht="15.75" customHeight="1" x14ac:dyDescent="0.25"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Q205" s="83"/>
      <c r="AR205" s="83"/>
      <c r="AS205" s="83"/>
      <c r="AT205" s="53"/>
    </row>
    <row r="206" spans="32:46" ht="15.75" customHeight="1" x14ac:dyDescent="0.25"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Q206" s="83"/>
      <c r="AR206" s="83"/>
      <c r="AS206" s="83"/>
      <c r="AT206" s="53"/>
    </row>
    <row r="207" spans="32:46" ht="15.75" customHeight="1" x14ac:dyDescent="0.25"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Q207" s="83"/>
      <c r="AR207" s="83"/>
      <c r="AS207" s="83"/>
      <c r="AT207" s="53"/>
    </row>
    <row r="208" spans="32:46" ht="15.75" customHeight="1" x14ac:dyDescent="0.25"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Q208" s="83"/>
      <c r="AR208" s="83"/>
      <c r="AS208" s="83"/>
      <c r="AT208" s="53"/>
    </row>
    <row r="209" spans="32:46" ht="15.75" customHeight="1" x14ac:dyDescent="0.25"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Q209" s="83"/>
      <c r="AR209" s="83"/>
      <c r="AS209" s="83"/>
      <c r="AT209" s="53"/>
    </row>
    <row r="210" spans="32:46" ht="15.75" customHeight="1" x14ac:dyDescent="0.25"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Q210" s="83"/>
      <c r="AR210" s="83"/>
      <c r="AS210" s="83"/>
      <c r="AT210" s="53"/>
    </row>
    <row r="211" spans="32:46" ht="15.75" customHeight="1" x14ac:dyDescent="0.25"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Q211" s="83"/>
      <c r="AR211" s="83"/>
      <c r="AS211" s="83"/>
      <c r="AT211" s="53"/>
    </row>
    <row r="212" spans="32:46" ht="15.75" customHeight="1" x14ac:dyDescent="0.25"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Q212" s="83"/>
      <c r="AR212" s="83"/>
      <c r="AS212" s="83"/>
      <c r="AT212" s="53"/>
    </row>
    <row r="213" spans="32:46" ht="15.75" customHeight="1" x14ac:dyDescent="0.25"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Q213" s="83"/>
      <c r="AR213" s="83"/>
      <c r="AS213" s="83"/>
      <c r="AT213" s="53"/>
    </row>
    <row r="214" spans="32:46" ht="15.75" customHeight="1" x14ac:dyDescent="0.25"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Q214" s="83"/>
      <c r="AR214" s="83"/>
      <c r="AS214" s="83"/>
      <c r="AT214" s="53"/>
    </row>
    <row r="215" spans="32:46" ht="15.75" customHeight="1" x14ac:dyDescent="0.25"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Q215" s="83"/>
      <c r="AR215" s="83"/>
      <c r="AS215" s="83"/>
      <c r="AT215" s="53"/>
    </row>
    <row r="216" spans="32:46" ht="15.75" customHeight="1" x14ac:dyDescent="0.25"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Q216" s="83"/>
      <c r="AR216" s="83"/>
      <c r="AS216" s="83"/>
      <c r="AT216" s="53"/>
    </row>
    <row r="217" spans="32:46" ht="15.75" customHeight="1" x14ac:dyDescent="0.25"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Q217" s="83"/>
      <c r="AR217" s="83"/>
      <c r="AS217" s="83"/>
      <c r="AT217" s="53"/>
    </row>
    <row r="218" spans="32:46" ht="15.75" customHeight="1" x14ac:dyDescent="0.25"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Q218" s="83"/>
      <c r="AR218" s="83"/>
      <c r="AS218" s="83"/>
      <c r="AT218" s="53"/>
    </row>
    <row r="219" spans="32:46" ht="15.75" customHeight="1" x14ac:dyDescent="0.25"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Q219" s="83"/>
      <c r="AR219" s="83"/>
      <c r="AS219" s="83"/>
      <c r="AT219" s="53"/>
    </row>
    <row r="220" spans="32:46" ht="15.75" customHeight="1" x14ac:dyDescent="0.25"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Q220" s="83"/>
      <c r="AR220" s="83"/>
      <c r="AS220" s="83"/>
      <c r="AT220" s="53"/>
    </row>
    <row r="221" spans="32:46" ht="15.75" customHeight="1" x14ac:dyDescent="0.25"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Q221" s="83"/>
      <c r="AR221" s="83"/>
      <c r="AS221" s="83"/>
      <c r="AT221" s="53"/>
    </row>
    <row r="222" spans="32:46" ht="15.75" customHeight="1" x14ac:dyDescent="0.25"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Q222" s="83"/>
      <c r="AR222" s="83"/>
      <c r="AS222" s="83"/>
      <c r="AT222" s="53"/>
    </row>
    <row r="223" spans="32:46" ht="15.75" customHeight="1" x14ac:dyDescent="0.25"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Q223" s="83"/>
      <c r="AR223" s="83"/>
      <c r="AS223" s="83"/>
      <c r="AT223" s="53"/>
    </row>
    <row r="224" spans="32:46" ht="15.75" customHeight="1" x14ac:dyDescent="0.25"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Q224" s="83"/>
      <c r="AR224" s="83"/>
      <c r="AS224" s="83"/>
      <c r="AT224" s="53"/>
    </row>
    <row r="225" spans="32:46" ht="15.75" customHeight="1" x14ac:dyDescent="0.25"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Q225" s="83"/>
      <c r="AR225" s="83"/>
      <c r="AS225" s="83"/>
      <c r="AT225" s="53"/>
    </row>
    <row r="226" spans="32:46" ht="15.75" customHeight="1" x14ac:dyDescent="0.25"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Q226" s="83"/>
      <c r="AR226" s="83"/>
      <c r="AS226" s="83"/>
      <c r="AT226" s="53"/>
    </row>
    <row r="227" spans="32:46" ht="15.75" customHeight="1" x14ac:dyDescent="0.25"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Q227" s="83"/>
      <c r="AR227" s="83"/>
      <c r="AS227" s="83"/>
      <c r="AT227" s="53"/>
    </row>
    <row r="228" spans="32:46" ht="15.75" customHeight="1" x14ac:dyDescent="0.25"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Q228" s="83"/>
      <c r="AR228" s="83"/>
      <c r="AS228" s="83"/>
      <c r="AT228" s="53"/>
    </row>
    <row r="229" spans="32:46" ht="15.75" customHeight="1" x14ac:dyDescent="0.25"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Q229" s="83"/>
      <c r="AR229" s="83"/>
      <c r="AS229" s="83"/>
      <c r="AT229" s="53"/>
    </row>
    <row r="230" spans="32:46" ht="15.75" customHeight="1" x14ac:dyDescent="0.25"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Q230" s="83"/>
      <c r="AR230" s="83"/>
      <c r="AS230" s="83"/>
      <c r="AT230" s="53"/>
    </row>
    <row r="231" spans="32:46" ht="15.75" customHeight="1" x14ac:dyDescent="0.25"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Q231" s="83"/>
      <c r="AR231" s="83"/>
      <c r="AS231" s="83"/>
      <c r="AT231" s="53"/>
    </row>
    <row r="232" spans="32:46" ht="15.75" customHeight="1" x14ac:dyDescent="0.25"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Q232" s="83"/>
      <c r="AR232" s="83"/>
      <c r="AS232" s="83"/>
      <c r="AT232" s="53"/>
    </row>
    <row r="233" spans="32:46" ht="15.75" customHeight="1" x14ac:dyDescent="0.25"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Q233" s="83"/>
      <c r="AR233" s="83"/>
      <c r="AS233" s="83"/>
      <c r="AT233" s="53"/>
    </row>
    <row r="234" spans="32:46" ht="15.75" customHeight="1" x14ac:dyDescent="0.25"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Q234" s="83"/>
      <c r="AR234" s="83"/>
      <c r="AS234" s="83"/>
      <c r="AT234" s="53"/>
    </row>
    <row r="235" spans="32:46" ht="15.75" customHeight="1" x14ac:dyDescent="0.25"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Q235" s="83"/>
      <c r="AR235" s="83"/>
      <c r="AS235" s="83"/>
      <c r="AT235" s="53"/>
    </row>
    <row r="236" spans="32:46" ht="15.75" customHeight="1" x14ac:dyDescent="0.25"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Q236" s="83"/>
      <c r="AR236" s="83"/>
      <c r="AS236" s="83"/>
      <c r="AT236" s="53"/>
    </row>
    <row r="237" spans="32:46" ht="15.75" customHeight="1" x14ac:dyDescent="0.25"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Q237" s="83"/>
      <c r="AR237" s="83"/>
      <c r="AS237" s="83"/>
      <c r="AT237" s="53"/>
    </row>
    <row r="238" spans="32:46" ht="15.75" customHeight="1" x14ac:dyDescent="0.25"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Q238" s="83"/>
      <c r="AR238" s="83"/>
      <c r="AS238" s="83"/>
      <c r="AT238" s="53"/>
    </row>
    <row r="239" spans="32:46" ht="15.75" customHeight="1" x14ac:dyDescent="0.25"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Q239" s="83"/>
      <c r="AR239" s="83"/>
      <c r="AS239" s="83"/>
      <c r="AT239" s="53"/>
    </row>
    <row r="240" spans="32:46" ht="15.75" customHeight="1" x14ac:dyDescent="0.25"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Q240" s="83"/>
      <c r="AR240" s="83"/>
      <c r="AS240" s="83"/>
      <c r="AT240" s="53"/>
    </row>
    <row r="241" spans="32:46" ht="15.75" customHeight="1" x14ac:dyDescent="0.25"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Q241" s="83"/>
      <c r="AR241" s="83"/>
      <c r="AS241" s="83"/>
      <c r="AT241" s="53"/>
    </row>
    <row r="242" spans="32:46" ht="15.75" customHeight="1" x14ac:dyDescent="0.25"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Q242" s="83"/>
      <c r="AR242" s="83"/>
      <c r="AS242" s="83"/>
      <c r="AT242" s="53"/>
    </row>
    <row r="243" spans="32:46" ht="15.75" customHeight="1" x14ac:dyDescent="0.25"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Q243" s="83"/>
      <c r="AR243" s="83"/>
      <c r="AS243" s="83"/>
      <c r="AT243" s="53"/>
    </row>
    <row r="244" spans="32:46" ht="15.75" customHeight="1" x14ac:dyDescent="0.25"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Q244" s="83"/>
      <c r="AR244" s="83"/>
      <c r="AS244" s="83"/>
      <c r="AT244" s="53"/>
    </row>
    <row r="245" spans="32:46" ht="15.75" customHeight="1" x14ac:dyDescent="0.25"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Q245" s="83"/>
      <c r="AR245" s="83"/>
      <c r="AS245" s="83"/>
      <c r="AT245" s="53"/>
    </row>
    <row r="246" spans="32:46" ht="15.75" customHeight="1" x14ac:dyDescent="0.25"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Q246" s="83"/>
      <c r="AR246" s="83"/>
      <c r="AS246" s="83"/>
      <c r="AT246" s="53"/>
    </row>
    <row r="247" spans="32:46" ht="15.75" customHeight="1" x14ac:dyDescent="0.25"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Q247" s="83"/>
      <c r="AR247" s="83"/>
      <c r="AS247" s="83"/>
      <c r="AT247" s="53"/>
    </row>
    <row r="248" spans="32:46" ht="15.75" customHeight="1" x14ac:dyDescent="0.25"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Q248" s="83"/>
      <c r="AR248" s="83"/>
      <c r="AS248" s="83"/>
      <c r="AT248" s="53"/>
    </row>
    <row r="249" spans="32:46" ht="15.75" customHeight="1" x14ac:dyDescent="0.25"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Q249" s="83"/>
      <c r="AR249" s="83"/>
      <c r="AS249" s="83"/>
      <c r="AT249" s="53"/>
    </row>
    <row r="250" spans="32:46" ht="15.75" customHeight="1" x14ac:dyDescent="0.25"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Q250" s="83"/>
      <c r="AR250" s="83"/>
      <c r="AS250" s="83"/>
      <c r="AT250" s="53"/>
    </row>
    <row r="251" spans="32:46" ht="15.75" customHeight="1" x14ac:dyDescent="0.25"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Q251" s="83"/>
      <c r="AR251" s="83"/>
      <c r="AS251" s="83"/>
      <c r="AT251" s="53"/>
    </row>
    <row r="252" spans="32:46" ht="15.75" customHeight="1" x14ac:dyDescent="0.25"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Q252" s="83"/>
      <c r="AR252" s="83"/>
      <c r="AS252" s="83"/>
      <c r="AT252" s="53"/>
    </row>
    <row r="253" spans="32:46" ht="15.75" customHeight="1" x14ac:dyDescent="0.25"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Q253" s="83"/>
      <c r="AR253" s="83"/>
      <c r="AS253" s="83"/>
      <c r="AT253" s="53"/>
    </row>
    <row r="254" spans="32:46" ht="15.75" customHeight="1" x14ac:dyDescent="0.25"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Q254" s="83"/>
      <c r="AR254" s="83"/>
      <c r="AS254" s="83"/>
      <c r="AT254" s="53"/>
    </row>
    <row r="255" spans="32:46" ht="15.75" customHeight="1" x14ac:dyDescent="0.25"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Q255" s="83"/>
      <c r="AR255" s="83"/>
      <c r="AS255" s="83"/>
      <c r="AT255" s="53"/>
    </row>
    <row r="256" spans="32:46" ht="15.75" customHeight="1" x14ac:dyDescent="0.25"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Q256" s="83"/>
      <c r="AR256" s="83"/>
      <c r="AS256" s="83"/>
      <c r="AT256" s="53"/>
    </row>
    <row r="257" spans="32:46" ht="15.75" customHeight="1" x14ac:dyDescent="0.25"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Q257" s="83"/>
      <c r="AR257" s="83"/>
      <c r="AS257" s="83"/>
      <c r="AT257" s="53"/>
    </row>
    <row r="258" spans="32:46" ht="15.75" customHeight="1" x14ac:dyDescent="0.25"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Q258" s="83"/>
      <c r="AR258" s="83"/>
      <c r="AS258" s="83"/>
      <c r="AT258" s="53"/>
    </row>
    <row r="259" spans="32:46" ht="15.75" customHeight="1" x14ac:dyDescent="0.25"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Q259" s="83"/>
      <c r="AR259" s="83"/>
      <c r="AS259" s="83"/>
      <c r="AT259" s="53"/>
    </row>
    <row r="260" spans="32:46" ht="15.75" customHeight="1" x14ac:dyDescent="0.25"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Q260" s="83"/>
      <c r="AR260" s="83"/>
      <c r="AS260" s="83"/>
      <c r="AT260" s="53"/>
    </row>
    <row r="261" spans="32:46" ht="15.75" customHeight="1" x14ac:dyDescent="0.25"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Q261" s="83"/>
      <c r="AR261" s="83"/>
      <c r="AS261" s="83"/>
      <c r="AT261" s="53"/>
    </row>
    <row r="262" spans="32:46" ht="15.75" customHeight="1" x14ac:dyDescent="0.25"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Q262" s="83"/>
      <c r="AR262" s="83"/>
      <c r="AS262" s="83"/>
      <c r="AT262" s="53"/>
    </row>
    <row r="263" spans="32:46" ht="15.75" customHeight="1" x14ac:dyDescent="0.25"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Q263" s="83"/>
      <c r="AR263" s="83"/>
      <c r="AS263" s="83"/>
      <c r="AT263" s="53"/>
    </row>
    <row r="264" spans="32:46" ht="15.75" customHeight="1" x14ac:dyDescent="0.25"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Q264" s="83"/>
      <c r="AR264" s="83"/>
      <c r="AS264" s="83"/>
      <c r="AT264" s="53"/>
    </row>
    <row r="265" spans="32:46" ht="15.75" customHeight="1" x14ac:dyDescent="0.25"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Q265" s="83"/>
      <c r="AR265" s="83"/>
      <c r="AS265" s="83"/>
      <c r="AT265" s="53"/>
    </row>
    <row r="266" spans="32:46" ht="15.75" customHeight="1" x14ac:dyDescent="0.25"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Q266" s="83"/>
      <c r="AR266" s="83"/>
      <c r="AS266" s="83"/>
      <c r="AT266" s="53"/>
    </row>
    <row r="267" spans="32:46" ht="15.75" customHeight="1" x14ac:dyDescent="0.25"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Q267" s="83"/>
      <c r="AR267" s="83"/>
      <c r="AS267" s="83"/>
      <c r="AT267" s="53"/>
    </row>
    <row r="268" spans="32:46" ht="15.75" customHeight="1" x14ac:dyDescent="0.25"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Q268" s="83"/>
      <c r="AR268" s="83"/>
      <c r="AS268" s="83"/>
      <c r="AT268" s="53"/>
    </row>
    <row r="269" spans="32:46" ht="15.75" customHeight="1" x14ac:dyDescent="0.25"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Q269" s="83"/>
      <c r="AR269" s="83"/>
      <c r="AS269" s="83"/>
      <c r="AT269" s="53"/>
    </row>
    <row r="270" spans="32:46" ht="15.75" customHeight="1" x14ac:dyDescent="0.25"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Q270" s="83"/>
      <c r="AR270" s="83"/>
      <c r="AS270" s="83"/>
      <c r="AT270" s="53"/>
    </row>
    <row r="271" spans="32:46" ht="15.75" customHeight="1" x14ac:dyDescent="0.25"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Q271" s="83"/>
      <c r="AR271" s="83"/>
      <c r="AS271" s="83"/>
      <c r="AT271" s="53"/>
    </row>
    <row r="272" spans="32:46" ht="15.75" customHeight="1" x14ac:dyDescent="0.25"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Q272" s="83"/>
      <c r="AR272" s="83"/>
      <c r="AS272" s="83"/>
      <c r="AT272" s="53"/>
    </row>
    <row r="273" spans="32:46" ht="15.75" customHeight="1" x14ac:dyDescent="0.25"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Q273" s="83"/>
      <c r="AR273" s="83"/>
      <c r="AS273" s="83"/>
      <c r="AT273" s="53"/>
    </row>
    <row r="274" spans="32:46" ht="15.75" customHeight="1" x14ac:dyDescent="0.25"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Q274" s="83"/>
      <c r="AR274" s="83"/>
      <c r="AS274" s="83"/>
      <c r="AT274" s="53"/>
    </row>
    <row r="275" spans="32:46" ht="15.75" customHeight="1" x14ac:dyDescent="0.25"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Q275" s="83"/>
      <c r="AR275" s="83"/>
      <c r="AS275" s="83"/>
      <c r="AT275" s="53"/>
    </row>
    <row r="276" spans="32:46" ht="15.75" customHeight="1" x14ac:dyDescent="0.25"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Q276" s="83"/>
      <c r="AR276" s="83"/>
      <c r="AS276" s="83"/>
      <c r="AT276" s="53"/>
    </row>
    <row r="277" spans="32:46" ht="15.75" customHeight="1" x14ac:dyDescent="0.25"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Q277" s="83"/>
      <c r="AR277" s="83"/>
      <c r="AS277" s="83"/>
      <c r="AT277" s="53"/>
    </row>
    <row r="278" spans="32:46" ht="15.75" customHeight="1" x14ac:dyDescent="0.25"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Q278" s="83"/>
      <c r="AR278" s="83"/>
      <c r="AS278" s="83"/>
      <c r="AT278" s="53"/>
    </row>
    <row r="279" spans="32:46" ht="15.75" customHeight="1" x14ac:dyDescent="0.25"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Q279" s="83"/>
      <c r="AR279" s="83"/>
      <c r="AS279" s="83"/>
      <c r="AT279" s="53"/>
    </row>
    <row r="280" spans="32:46" ht="15.75" customHeight="1" x14ac:dyDescent="0.25"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Q280" s="83"/>
      <c r="AR280" s="83"/>
      <c r="AS280" s="83"/>
      <c r="AT280" s="53"/>
    </row>
    <row r="281" spans="32:46" ht="15.75" customHeight="1" x14ac:dyDescent="0.25"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Q281" s="83"/>
      <c r="AR281" s="83"/>
      <c r="AS281" s="83"/>
      <c r="AT281" s="53"/>
    </row>
    <row r="282" spans="32:46" ht="15.75" customHeight="1" x14ac:dyDescent="0.25"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Q282" s="83"/>
      <c r="AR282" s="83"/>
      <c r="AS282" s="83"/>
      <c r="AT282" s="53"/>
    </row>
    <row r="283" spans="32:46" ht="15.75" customHeight="1" x14ac:dyDescent="0.25"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Q283" s="83"/>
      <c r="AR283" s="83"/>
      <c r="AS283" s="83"/>
      <c r="AT283" s="53"/>
    </row>
    <row r="284" spans="32:46" ht="15.75" customHeight="1" x14ac:dyDescent="0.25"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Q284" s="83"/>
      <c r="AR284" s="83"/>
      <c r="AS284" s="83"/>
      <c r="AT284" s="53"/>
    </row>
    <row r="285" spans="32:46" ht="15.75" customHeight="1" x14ac:dyDescent="0.25"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Q285" s="83"/>
      <c r="AR285" s="83"/>
      <c r="AS285" s="83"/>
      <c r="AT285" s="53"/>
    </row>
    <row r="286" spans="32:46" ht="15.75" customHeight="1" x14ac:dyDescent="0.25"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Q286" s="83"/>
      <c r="AR286" s="83"/>
      <c r="AS286" s="83"/>
      <c r="AT286" s="53"/>
    </row>
    <row r="287" spans="32:46" ht="15.75" customHeight="1" x14ac:dyDescent="0.25"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Q287" s="83"/>
      <c r="AR287" s="83"/>
      <c r="AS287" s="83"/>
      <c r="AT287" s="53"/>
    </row>
    <row r="288" spans="32:46" ht="15.75" customHeight="1" x14ac:dyDescent="0.25"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Q288" s="83"/>
      <c r="AR288" s="83"/>
      <c r="AS288" s="83"/>
      <c r="AT288" s="53"/>
    </row>
    <row r="289" spans="32:46" ht="15.75" customHeight="1" x14ac:dyDescent="0.25"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Q289" s="83"/>
      <c r="AR289" s="83"/>
      <c r="AS289" s="83"/>
      <c r="AT289" s="53"/>
    </row>
    <row r="290" spans="32:46" ht="15.75" customHeight="1" x14ac:dyDescent="0.25"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Q290" s="83"/>
      <c r="AR290" s="83"/>
      <c r="AS290" s="83"/>
      <c r="AT290" s="53"/>
    </row>
    <row r="291" spans="32:46" ht="15.75" customHeight="1" x14ac:dyDescent="0.25"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Q291" s="83"/>
      <c r="AR291" s="83"/>
      <c r="AS291" s="83"/>
      <c r="AT291" s="53"/>
    </row>
    <row r="292" spans="32:46" ht="15.75" customHeight="1" x14ac:dyDescent="0.25"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Q292" s="83"/>
      <c r="AR292" s="83"/>
      <c r="AS292" s="83"/>
      <c r="AT292" s="53"/>
    </row>
    <row r="293" spans="32:46" ht="15.75" customHeight="1" x14ac:dyDescent="0.25"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Q293" s="83"/>
      <c r="AR293" s="83"/>
      <c r="AS293" s="83"/>
      <c r="AT293" s="53"/>
    </row>
    <row r="294" spans="32:46" ht="15.75" customHeight="1" x14ac:dyDescent="0.25"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Q294" s="83"/>
      <c r="AR294" s="83"/>
      <c r="AS294" s="83"/>
      <c r="AT294" s="53"/>
    </row>
    <row r="295" spans="32:46" ht="15.75" customHeight="1" x14ac:dyDescent="0.25"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Q295" s="83"/>
      <c r="AR295" s="83"/>
      <c r="AS295" s="83"/>
      <c r="AT295" s="53"/>
    </row>
    <row r="296" spans="32:46" ht="15.75" customHeight="1" x14ac:dyDescent="0.25"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Q296" s="83"/>
      <c r="AR296" s="83"/>
      <c r="AS296" s="83"/>
      <c r="AT296" s="53"/>
    </row>
    <row r="297" spans="32:46" ht="15.75" customHeight="1" x14ac:dyDescent="0.25"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Q297" s="83"/>
      <c r="AR297" s="83"/>
      <c r="AS297" s="83"/>
      <c r="AT297" s="53"/>
    </row>
    <row r="298" spans="32:46" ht="15.75" customHeight="1" x14ac:dyDescent="0.25"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Q298" s="83"/>
      <c r="AR298" s="83"/>
      <c r="AS298" s="83"/>
      <c r="AT298" s="53"/>
    </row>
    <row r="299" spans="32:46" ht="15.75" customHeight="1" x14ac:dyDescent="0.25"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Q299" s="83"/>
      <c r="AR299" s="83"/>
      <c r="AS299" s="83"/>
      <c r="AT299" s="53"/>
    </row>
    <row r="300" spans="32:46" ht="15.75" customHeight="1" x14ac:dyDescent="0.25"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Q300" s="83"/>
      <c r="AR300" s="83"/>
      <c r="AS300" s="83"/>
      <c r="AT300" s="53"/>
    </row>
    <row r="301" spans="32:46" ht="15.75" customHeight="1" x14ac:dyDescent="0.25"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Q301" s="83"/>
      <c r="AR301" s="83"/>
      <c r="AS301" s="83"/>
      <c r="AT301" s="53"/>
    </row>
    <row r="302" spans="32:46" ht="15.75" customHeight="1" x14ac:dyDescent="0.25"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Q302" s="83"/>
      <c r="AR302" s="83"/>
      <c r="AS302" s="83"/>
      <c r="AT302" s="53"/>
    </row>
    <row r="303" spans="32:46" ht="15.75" customHeight="1" x14ac:dyDescent="0.25"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Q303" s="83"/>
      <c r="AR303" s="83"/>
      <c r="AS303" s="83"/>
      <c r="AT303" s="53"/>
    </row>
    <row r="304" spans="32:46" ht="15.75" customHeight="1" x14ac:dyDescent="0.25"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Q304" s="83"/>
      <c r="AR304" s="83"/>
      <c r="AS304" s="83"/>
      <c r="AT304" s="53"/>
    </row>
    <row r="305" spans="32:46" ht="15.75" customHeight="1" x14ac:dyDescent="0.25"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Q305" s="83"/>
      <c r="AR305" s="83"/>
      <c r="AS305" s="83"/>
      <c r="AT305" s="53"/>
    </row>
    <row r="306" spans="32:46" ht="15.75" customHeight="1" x14ac:dyDescent="0.25"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Q306" s="83"/>
      <c r="AR306" s="83"/>
      <c r="AS306" s="83"/>
      <c r="AT306" s="53"/>
    </row>
    <row r="307" spans="32:46" ht="15.75" customHeight="1" x14ac:dyDescent="0.25"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Q307" s="83"/>
      <c r="AR307" s="83"/>
      <c r="AS307" s="83"/>
      <c r="AT307" s="53"/>
    </row>
    <row r="308" spans="32:46" ht="15.75" customHeight="1" x14ac:dyDescent="0.25"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Q308" s="83"/>
      <c r="AR308" s="83"/>
      <c r="AS308" s="83"/>
      <c r="AT308" s="53"/>
    </row>
    <row r="309" spans="32:46" ht="15.75" customHeight="1" x14ac:dyDescent="0.25"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Q309" s="83"/>
      <c r="AR309" s="83"/>
      <c r="AS309" s="83"/>
      <c r="AT309" s="53"/>
    </row>
    <row r="310" spans="32:46" ht="15.75" customHeight="1" x14ac:dyDescent="0.25"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Q310" s="83"/>
      <c r="AR310" s="83"/>
      <c r="AS310" s="83"/>
      <c r="AT310" s="53"/>
    </row>
    <row r="311" spans="32:46" ht="15.75" customHeight="1" x14ac:dyDescent="0.25"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Q311" s="83"/>
      <c r="AR311" s="83"/>
      <c r="AS311" s="83"/>
      <c r="AT311" s="53"/>
    </row>
    <row r="312" spans="32:46" ht="15.75" customHeight="1" x14ac:dyDescent="0.25"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Q312" s="83"/>
      <c r="AR312" s="83"/>
      <c r="AS312" s="83"/>
      <c r="AT312" s="53"/>
    </row>
    <row r="313" spans="32:46" ht="15.75" customHeight="1" x14ac:dyDescent="0.25"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Q313" s="83"/>
      <c r="AR313" s="83"/>
      <c r="AS313" s="83"/>
      <c r="AT313" s="53"/>
    </row>
    <row r="314" spans="32:46" ht="15.75" customHeight="1" x14ac:dyDescent="0.25"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Q314" s="83"/>
      <c r="AR314" s="83"/>
      <c r="AS314" s="83"/>
      <c r="AT314" s="53"/>
    </row>
    <row r="315" spans="32:46" ht="15.75" customHeight="1" x14ac:dyDescent="0.25"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Q315" s="83"/>
      <c r="AR315" s="83"/>
      <c r="AS315" s="83"/>
      <c r="AT315" s="53"/>
    </row>
    <row r="316" spans="32:46" ht="15.75" customHeight="1" x14ac:dyDescent="0.25"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Q316" s="83"/>
      <c r="AR316" s="83"/>
      <c r="AS316" s="83"/>
      <c r="AT316" s="53"/>
    </row>
    <row r="317" spans="32:46" ht="15.75" customHeight="1" x14ac:dyDescent="0.25"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Q317" s="83"/>
      <c r="AR317" s="83"/>
      <c r="AS317" s="83"/>
      <c r="AT317" s="53"/>
    </row>
    <row r="318" spans="32:46" ht="15.75" customHeight="1" x14ac:dyDescent="0.25"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Q318" s="83"/>
      <c r="AR318" s="83"/>
      <c r="AS318" s="83"/>
      <c r="AT318" s="53"/>
    </row>
    <row r="319" spans="32:46" ht="15.75" customHeight="1" x14ac:dyDescent="0.25"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Q319" s="83"/>
      <c r="AR319" s="83"/>
      <c r="AS319" s="83"/>
      <c r="AT319" s="53"/>
    </row>
    <row r="320" spans="32:46" ht="15.75" customHeight="1" x14ac:dyDescent="0.25"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Q320" s="83"/>
      <c r="AR320" s="83"/>
      <c r="AS320" s="83"/>
      <c r="AT320" s="53"/>
    </row>
    <row r="321" spans="32:46" ht="15.75" customHeight="1" x14ac:dyDescent="0.25"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Q321" s="83"/>
      <c r="AR321" s="83"/>
      <c r="AS321" s="83"/>
      <c r="AT321" s="53"/>
    </row>
    <row r="322" spans="32:46" ht="15.75" customHeight="1" x14ac:dyDescent="0.25"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Q322" s="83"/>
      <c r="AR322" s="83"/>
      <c r="AS322" s="83"/>
      <c r="AT322" s="53"/>
    </row>
    <row r="323" spans="32:46" ht="15.75" customHeight="1" x14ac:dyDescent="0.25"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Q323" s="83"/>
      <c r="AR323" s="83"/>
      <c r="AS323" s="83"/>
      <c r="AT323" s="53"/>
    </row>
    <row r="324" spans="32:46" ht="15.75" customHeight="1" x14ac:dyDescent="0.25"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Q324" s="83"/>
      <c r="AR324" s="83"/>
      <c r="AS324" s="83"/>
      <c r="AT324" s="53"/>
    </row>
    <row r="325" spans="32:46" ht="15.75" customHeight="1" x14ac:dyDescent="0.25"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Q325" s="83"/>
      <c r="AR325" s="83"/>
      <c r="AS325" s="83"/>
      <c r="AT325" s="53"/>
    </row>
    <row r="326" spans="32:46" ht="15.75" customHeight="1" x14ac:dyDescent="0.25"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Q326" s="83"/>
      <c r="AR326" s="83"/>
      <c r="AS326" s="83"/>
      <c r="AT326" s="53"/>
    </row>
    <row r="327" spans="32:46" ht="15.75" customHeight="1" x14ac:dyDescent="0.25"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Q327" s="83"/>
      <c r="AR327" s="83"/>
      <c r="AS327" s="83"/>
      <c r="AT327" s="53"/>
    </row>
    <row r="328" spans="32:46" ht="15.75" customHeight="1" x14ac:dyDescent="0.25"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Q328" s="83"/>
      <c r="AR328" s="83"/>
      <c r="AS328" s="83"/>
      <c r="AT328" s="53"/>
    </row>
    <row r="329" spans="32:46" ht="15.75" customHeight="1" x14ac:dyDescent="0.25"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Q329" s="83"/>
      <c r="AR329" s="83"/>
      <c r="AS329" s="83"/>
      <c r="AT329" s="53"/>
    </row>
    <row r="330" spans="32:46" ht="15.75" customHeight="1" x14ac:dyDescent="0.25"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Q330" s="83"/>
      <c r="AR330" s="83"/>
      <c r="AS330" s="83"/>
      <c r="AT330" s="53"/>
    </row>
    <row r="331" spans="32:46" ht="15.75" customHeight="1" x14ac:dyDescent="0.25"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Q331" s="83"/>
      <c r="AR331" s="83"/>
      <c r="AS331" s="83"/>
      <c r="AT331" s="53"/>
    </row>
    <row r="332" spans="32:46" ht="15.75" customHeight="1" x14ac:dyDescent="0.25"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Q332" s="83"/>
      <c r="AR332" s="83"/>
      <c r="AS332" s="83"/>
      <c r="AT332" s="53"/>
    </row>
    <row r="333" spans="32:46" ht="15.75" customHeight="1" x14ac:dyDescent="0.25"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Q333" s="83"/>
      <c r="AR333" s="83"/>
      <c r="AS333" s="83"/>
      <c r="AT333" s="53"/>
    </row>
    <row r="334" spans="32:46" ht="15.75" customHeight="1" x14ac:dyDescent="0.25"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Q334" s="83"/>
      <c r="AR334" s="83"/>
      <c r="AS334" s="83"/>
      <c r="AT334" s="53"/>
    </row>
    <row r="335" spans="32:46" ht="15.75" customHeight="1" x14ac:dyDescent="0.25"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Q335" s="83"/>
      <c r="AR335" s="83"/>
      <c r="AS335" s="83"/>
      <c r="AT335" s="53"/>
    </row>
    <row r="336" spans="32:46" ht="15.75" customHeight="1" x14ac:dyDescent="0.25"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Q336" s="83"/>
      <c r="AR336" s="83"/>
      <c r="AS336" s="83"/>
      <c r="AT336" s="53"/>
    </row>
    <row r="337" spans="32:46" ht="15.75" customHeight="1" x14ac:dyDescent="0.25"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Q337" s="83"/>
      <c r="AR337" s="83"/>
      <c r="AS337" s="83"/>
      <c r="AT337" s="53"/>
    </row>
    <row r="338" spans="32:46" ht="15.75" customHeight="1" x14ac:dyDescent="0.25"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Q338" s="83"/>
      <c r="AR338" s="83"/>
      <c r="AS338" s="83"/>
      <c r="AT338" s="53"/>
    </row>
    <row r="339" spans="32:46" ht="15.75" customHeight="1" x14ac:dyDescent="0.25"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Q339" s="83"/>
      <c r="AR339" s="83"/>
      <c r="AS339" s="83"/>
      <c r="AT339" s="53"/>
    </row>
    <row r="340" spans="32:46" ht="15.75" customHeight="1" x14ac:dyDescent="0.25"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Q340" s="83"/>
      <c r="AR340" s="83"/>
      <c r="AS340" s="83"/>
      <c r="AT340" s="53"/>
    </row>
    <row r="341" spans="32:46" ht="15.75" customHeight="1" x14ac:dyDescent="0.25"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Q341" s="83"/>
      <c r="AR341" s="83"/>
      <c r="AS341" s="83"/>
      <c r="AT341" s="53"/>
    </row>
    <row r="342" spans="32:46" ht="15.75" customHeight="1" x14ac:dyDescent="0.25"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Q342" s="83"/>
      <c r="AR342" s="83"/>
      <c r="AS342" s="83"/>
      <c r="AT342" s="53"/>
    </row>
    <row r="343" spans="32:46" ht="15.75" customHeight="1" x14ac:dyDescent="0.25"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Q343" s="83"/>
      <c r="AR343" s="83"/>
      <c r="AS343" s="83"/>
      <c r="AT343" s="53"/>
    </row>
    <row r="344" spans="32:46" ht="15.75" customHeight="1" x14ac:dyDescent="0.25"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Q344" s="83"/>
      <c r="AR344" s="83"/>
      <c r="AS344" s="83"/>
      <c r="AT344" s="53"/>
    </row>
    <row r="345" spans="32:46" ht="15.75" customHeight="1" x14ac:dyDescent="0.25"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Q345" s="83"/>
      <c r="AR345" s="83"/>
      <c r="AS345" s="83"/>
      <c r="AT345" s="53"/>
    </row>
    <row r="346" spans="32:46" ht="15.75" customHeight="1" x14ac:dyDescent="0.25"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Q346" s="83"/>
      <c r="AR346" s="83"/>
      <c r="AS346" s="83"/>
      <c r="AT346" s="53"/>
    </row>
    <row r="347" spans="32:46" ht="15.75" customHeight="1" x14ac:dyDescent="0.25"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Q347" s="83"/>
      <c r="AR347" s="83"/>
      <c r="AS347" s="83"/>
      <c r="AT347" s="53"/>
    </row>
    <row r="348" spans="32:46" ht="15.75" customHeight="1" x14ac:dyDescent="0.25"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Q348" s="83"/>
      <c r="AR348" s="83"/>
      <c r="AS348" s="83"/>
      <c r="AT348" s="53"/>
    </row>
    <row r="349" spans="32:46" ht="15.75" customHeight="1" x14ac:dyDescent="0.25"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Q349" s="83"/>
      <c r="AR349" s="83"/>
      <c r="AS349" s="83"/>
      <c r="AT349" s="53"/>
    </row>
    <row r="350" spans="32:46" ht="15.75" customHeight="1" x14ac:dyDescent="0.25"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Q350" s="83"/>
      <c r="AR350" s="83"/>
      <c r="AS350" s="83"/>
      <c r="AT350" s="53"/>
    </row>
    <row r="351" spans="32:46" ht="15.75" customHeight="1" x14ac:dyDescent="0.25"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Q351" s="83"/>
      <c r="AR351" s="83"/>
      <c r="AS351" s="83"/>
      <c r="AT351" s="53"/>
    </row>
    <row r="352" spans="32:46" ht="15.75" customHeight="1" x14ac:dyDescent="0.25"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Q352" s="83"/>
      <c r="AR352" s="83"/>
      <c r="AS352" s="83"/>
      <c r="AT352" s="53"/>
    </row>
    <row r="353" spans="32:46" ht="15.75" customHeight="1" x14ac:dyDescent="0.25"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Q353" s="83"/>
      <c r="AR353" s="83"/>
      <c r="AS353" s="83"/>
      <c r="AT353" s="53"/>
    </row>
    <row r="354" spans="32:46" ht="15.75" customHeight="1" x14ac:dyDescent="0.25"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Q354" s="83"/>
      <c r="AR354" s="83"/>
      <c r="AS354" s="83"/>
      <c r="AT354" s="53"/>
    </row>
    <row r="355" spans="32:46" ht="15.75" customHeight="1" x14ac:dyDescent="0.25"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Q355" s="83"/>
      <c r="AR355" s="83"/>
      <c r="AS355" s="83"/>
      <c r="AT355" s="53"/>
    </row>
    <row r="356" spans="32:46" ht="15.75" customHeight="1" x14ac:dyDescent="0.25"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Q356" s="83"/>
      <c r="AR356" s="83"/>
      <c r="AS356" s="83"/>
      <c r="AT356" s="53"/>
    </row>
    <row r="357" spans="32:46" ht="15.75" customHeight="1" x14ac:dyDescent="0.25"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Q357" s="83"/>
      <c r="AR357" s="83"/>
      <c r="AS357" s="83"/>
      <c r="AT357" s="53"/>
    </row>
    <row r="358" spans="32:46" ht="15.75" customHeight="1" x14ac:dyDescent="0.25"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Q358" s="83"/>
      <c r="AR358" s="83"/>
      <c r="AS358" s="83"/>
      <c r="AT358" s="53"/>
    </row>
    <row r="359" spans="32:46" ht="15.75" customHeight="1" x14ac:dyDescent="0.25"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Q359" s="83"/>
      <c r="AR359" s="83"/>
      <c r="AS359" s="83"/>
      <c r="AT359" s="53"/>
    </row>
    <row r="360" spans="32:46" ht="15.75" customHeight="1" x14ac:dyDescent="0.25"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Q360" s="83"/>
      <c r="AR360" s="83"/>
      <c r="AS360" s="83"/>
      <c r="AT360" s="53"/>
    </row>
    <row r="361" spans="32:46" ht="15.75" customHeight="1" x14ac:dyDescent="0.25"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Q361" s="83"/>
      <c r="AR361" s="83"/>
      <c r="AS361" s="83"/>
      <c r="AT361" s="53"/>
    </row>
    <row r="362" spans="32:46" ht="15.75" customHeight="1" x14ac:dyDescent="0.25"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Q362" s="83"/>
      <c r="AR362" s="83"/>
      <c r="AS362" s="83"/>
      <c r="AT362" s="53"/>
    </row>
    <row r="363" spans="32:46" ht="15.75" customHeight="1" x14ac:dyDescent="0.25"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Q363" s="83"/>
      <c r="AR363" s="83"/>
      <c r="AS363" s="83"/>
      <c r="AT363" s="53"/>
    </row>
    <row r="364" spans="32:46" ht="15.75" customHeight="1" x14ac:dyDescent="0.25"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Q364" s="83"/>
      <c r="AR364" s="83"/>
      <c r="AS364" s="83"/>
      <c r="AT364" s="53"/>
    </row>
    <row r="365" spans="32:46" ht="15.75" customHeight="1" x14ac:dyDescent="0.25"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Q365" s="83"/>
      <c r="AR365" s="83"/>
      <c r="AS365" s="83"/>
      <c r="AT365" s="53"/>
    </row>
    <row r="366" spans="32:46" ht="15.75" customHeight="1" x14ac:dyDescent="0.25"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Q366" s="83"/>
      <c r="AR366" s="83"/>
      <c r="AS366" s="83"/>
      <c r="AT366" s="53"/>
    </row>
    <row r="367" spans="32:46" ht="15.75" customHeight="1" x14ac:dyDescent="0.25"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Q367" s="83"/>
      <c r="AR367" s="83"/>
      <c r="AS367" s="83"/>
      <c r="AT367" s="53"/>
    </row>
    <row r="368" spans="32:46" ht="15.75" customHeight="1" x14ac:dyDescent="0.25"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Q368" s="83"/>
      <c r="AR368" s="83"/>
      <c r="AS368" s="83"/>
      <c r="AT368" s="53"/>
    </row>
    <row r="369" spans="32:46" ht="15.75" customHeight="1" x14ac:dyDescent="0.25"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Q369" s="83"/>
      <c r="AR369" s="83"/>
      <c r="AS369" s="83"/>
      <c r="AT369" s="53"/>
    </row>
    <row r="370" spans="32:46" ht="15.75" customHeight="1" x14ac:dyDescent="0.25"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Q370" s="83"/>
      <c r="AR370" s="83"/>
      <c r="AS370" s="83"/>
      <c r="AT370" s="53"/>
    </row>
    <row r="371" spans="32:46" ht="15.75" customHeight="1" x14ac:dyDescent="0.25"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Q371" s="83"/>
      <c r="AR371" s="83"/>
      <c r="AS371" s="83"/>
      <c r="AT371" s="53"/>
    </row>
    <row r="372" spans="32:46" ht="15.75" customHeight="1" x14ac:dyDescent="0.25"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Q372" s="83"/>
      <c r="AR372" s="83"/>
      <c r="AS372" s="83"/>
      <c r="AT372" s="53"/>
    </row>
    <row r="373" spans="32:46" ht="15.75" customHeight="1" x14ac:dyDescent="0.25"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Q373" s="83"/>
      <c r="AR373" s="83"/>
      <c r="AS373" s="83"/>
      <c r="AT373" s="53"/>
    </row>
    <row r="374" spans="32:46" ht="15.75" customHeight="1" x14ac:dyDescent="0.25"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Q374" s="83"/>
      <c r="AR374" s="83"/>
      <c r="AS374" s="83"/>
      <c r="AT374" s="53"/>
    </row>
    <row r="375" spans="32:46" ht="15.75" customHeight="1" x14ac:dyDescent="0.25"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Q375" s="83"/>
      <c r="AR375" s="83"/>
      <c r="AS375" s="83"/>
      <c r="AT375" s="53"/>
    </row>
    <row r="376" spans="32:46" ht="15.75" customHeight="1" x14ac:dyDescent="0.25"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Q376" s="83"/>
      <c r="AR376" s="83"/>
      <c r="AS376" s="83"/>
      <c r="AT376" s="53"/>
    </row>
    <row r="377" spans="32:46" ht="15.75" customHeight="1" x14ac:dyDescent="0.25"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Q377" s="83"/>
      <c r="AR377" s="83"/>
      <c r="AS377" s="83"/>
      <c r="AT377" s="53"/>
    </row>
    <row r="378" spans="32:46" ht="15.75" customHeight="1" x14ac:dyDescent="0.25"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Q378" s="83"/>
      <c r="AR378" s="83"/>
      <c r="AS378" s="83"/>
      <c r="AT378" s="53"/>
    </row>
    <row r="379" spans="32:46" ht="15.75" customHeight="1" x14ac:dyDescent="0.25"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Q379" s="83"/>
      <c r="AR379" s="83"/>
      <c r="AS379" s="83"/>
      <c r="AT379" s="53"/>
    </row>
    <row r="380" spans="32:46" ht="15.75" customHeight="1" x14ac:dyDescent="0.25"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Q380" s="83"/>
      <c r="AR380" s="83"/>
      <c r="AS380" s="83"/>
      <c r="AT380" s="53"/>
    </row>
    <row r="381" spans="32:46" ht="15.75" customHeight="1" x14ac:dyDescent="0.25"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Q381" s="83"/>
      <c r="AR381" s="83"/>
      <c r="AS381" s="83"/>
      <c r="AT381" s="53"/>
    </row>
    <row r="382" spans="32:46" ht="15.75" customHeight="1" x14ac:dyDescent="0.25"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Q382" s="83"/>
      <c r="AR382" s="83"/>
      <c r="AS382" s="83"/>
      <c r="AT382" s="53"/>
    </row>
    <row r="383" spans="32:46" ht="15.75" customHeight="1" x14ac:dyDescent="0.25"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Q383" s="83"/>
      <c r="AR383" s="83"/>
      <c r="AS383" s="83"/>
      <c r="AT383" s="53"/>
    </row>
    <row r="384" spans="32:46" ht="15.75" customHeight="1" x14ac:dyDescent="0.25"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Q384" s="83"/>
      <c r="AR384" s="83"/>
      <c r="AS384" s="83"/>
      <c r="AT384" s="53"/>
    </row>
    <row r="385" spans="32:46" ht="15.75" customHeight="1" x14ac:dyDescent="0.25"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Q385" s="83"/>
      <c r="AR385" s="83"/>
      <c r="AS385" s="83"/>
      <c r="AT385" s="53"/>
    </row>
    <row r="386" spans="32:46" ht="15.75" customHeight="1" x14ac:dyDescent="0.25"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Q386" s="83"/>
      <c r="AR386" s="83"/>
      <c r="AS386" s="83"/>
      <c r="AT386" s="53"/>
    </row>
    <row r="387" spans="32:46" ht="15.75" customHeight="1" x14ac:dyDescent="0.25"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Q387" s="83"/>
      <c r="AR387" s="83"/>
      <c r="AS387" s="83"/>
      <c r="AT387" s="53"/>
    </row>
    <row r="388" spans="32:46" ht="15.75" customHeight="1" x14ac:dyDescent="0.25"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Q388" s="83"/>
      <c r="AR388" s="83"/>
      <c r="AS388" s="83"/>
      <c r="AT388" s="53"/>
    </row>
    <row r="389" spans="32:46" ht="15.75" customHeight="1" x14ac:dyDescent="0.25"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Q389" s="83"/>
      <c r="AR389" s="83"/>
      <c r="AS389" s="83"/>
      <c r="AT389" s="53"/>
    </row>
    <row r="390" spans="32:46" ht="15.75" customHeight="1" x14ac:dyDescent="0.25"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Q390" s="83"/>
      <c r="AR390" s="83"/>
      <c r="AS390" s="83"/>
      <c r="AT390" s="53"/>
    </row>
    <row r="391" spans="32:46" ht="15.75" customHeight="1" x14ac:dyDescent="0.25"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Q391" s="83"/>
      <c r="AR391" s="83"/>
      <c r="AS391" s="83"/>
      <c r="AT391" s="53"/>
    </row>
    <row r="392" spans="32:46" ht="15.75" customHeight="1" x14ac:dyDescent="0.25"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Q392" s="83"/>
      <c r="AR392" s="83"/>
      <c r="AS392" s="83"/>
      <c r="AT392" s="53"/>
    </row>
    <row r="393" spans="32:46" ht="15.75" customHeight="1" x14ac:dyDescent="0.25"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Q393" s="83"/>
      <c r="AR393" s="83"/>
      <c r="AS393" s="83"/>
      <c r="AT393" s="53"/>
    </row>
    <row r="394" spans="32:46" ht="15.75" customHeight="1" x14ac:dyDescent="0.25"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Q394" s="83"/>
      <c r="AR394" s="83"/>
      <c r="AS394" s="83"/>
      <c r="AT394" s="53"/>
    </row>
    <row r="395" spans="32:46" ht="15.75" customHeight="1" x14ac:dyDescent="0.25"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Q395" s="83"/>
      <c r="AR395" s="83"/>
      <c r="AS395" s="83"/>
      <c r="AT395" s="53"/>
    </row>
    <row r="396" spans="32:46" ht="15.75" customHeight="1" x14ac:dyDescent="0.25"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Q396" s="83"/>
      <c r="AR396" s="83"/>
      <c r="AS396" s="83"/>
      <c r="AT396" s="53"/>
    </row>
    <row r="397" spans="32:46" ht="15.75" customHeight="1" x14ac:dyDescent="0.25"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Q397" s="83"/>
      <c r="AR397" s="83"/>
      <c r="AS397" s="83"/>
      <c r="AT397" s="53"/>
    </row>
    <row r="398" spans="32:46" ht="15.75" customHeight="1" x14ac:dyDescent="0.25"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Q398" s="83"/>
      <c r="AR398" s="83"/>
      <c r="AS398" s="83"/>
      <c r="AT398" s="53"/>
    </row>
    <row r="399" spans="32:46" ht="15.75" customHeight="1" x14ac:dyDescent="0.25"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Q399" s="83"/>
      <c r="AR399" s="83"/>
      <c r="AS399" s="83"/>
      <c r="AT399" s="53"/>
    </row>
    <row r="400" spans="32:46" ht="15.75" customHeight="1" x14ac:dyDescent="0.25"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Q400" s="83"/>
      <c r="AR400" s="83"/>
      <c r="AS400" s="83"/>
      <c r="AT400" s="53"/>
    </row>
    <row r="401" spans="32:46" ht="15.75" customHeight="1" x14ac:dyDescent="0.25"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Q401" s="83"/>
      <c r="AR401" s="83"/>
      <c r="AS401" s="83"/>
      <c r="AT401" s="53"/>
    </row>
    <row r="402" spans="32:46" ht="15.75" customHeight="1" x14ac:dyDescent="0.25"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Q402" s="83"/>
      <c r="AR402" s="83"/>
      <c r="AS402" s="83"/>
      <c r="AT402" s="53"/>
    </row>
    <row r="403" spans="32:46" ht="15.75" customHeight="1" x14ac:dyDescent="0.25"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Q403" s="83"/>
      <c r="AR403" s="83"/>
      <c r="AS403" s="83"/>
      <c r="AT403" s="53"/>
    </row>
    <row r="404" spans="32:46" ht="15.75" customHeight="1" x14ac:dyDescent="0.25"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Q404" s="83"/>
      <c r="AR404" s="83"/>
      <c r="AS404" s="83"/>
      <c r="AT404" s="53"/>
    </row>
    <row r="405" spans="32:46" ht="15.75" customHeight="1" x14ac:dyDescent="0.25"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Q405" s="83"/>
      <c r="AR405" s="83"/>
      <c r="AS405" s="83"/>
      <c r="AT405" s="53"/>
    </row>
    <row r="406" spans="32:46" ht="15.75" customHeight="1" x14ac:dyDescent="0.25"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Q406" s="83"/>
      <c r="AR406" s="83"/>
      <c r="AS406" s="83"/>
      <c r="AT406" s="53"/>
    </row>
    <row r="407" spans="32:46" ht="15.75" customHeight="1" x14ac:dyDescent="0.25"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Q407" s="83"/>
      <c r="AR407" s="83"/>
      <c r="AS407" s="83"/>
      <c r="AT407" s="53"/>
    </row>
    <row r="408" spans="32:46" ht="15.75" customHeight="1" x14ac:dyDescent="0.25"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Q408" s="83"/>
      <c r="AR408" s="83"/>
      <c r="AS408" s="83"/>
      <c r="AT408" s="53"/>
    </row>
    <row r="409" spans="32:46" ht="15.75" customHeight="1" x14ac:dyDescent="0.25"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Q409" s="83"/>
      <c r="AR409" s="83"/>
      <c r="AS409" s="83"/>
      <c r="AT409" s="53"/>
    </row>
    <row r="410" spans="32:46" ht="15.75" customHeight="1" x14ac:dyDescent="0.25"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Q410" s="83"/>
      <c r="AR410" s="83"/>
      <c r="AS410" s="83"/>
      <c r="AT410" s="53"/>
    </row>
    <row r="411" spans="32:46" ht="15.75" customHeight="1" x14ac:dyDescent="0.25"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Q411" s="83"/>
      <c r="AR411" s="83"/>
      <c r="AS411" s="83"/>
      <c r="AT411" s="53"/>
    </row>
    <row r="412" spans="32:46" ht="15.75" customHeight="1" x14ac:dyDescent="0.25"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Q412" s="83"/>
      <c r="AR412" s="83"/>
      <c r="AS412" s="83"/>
      <c r="AT412" s="53"/>
    </row>
    <row r="413" spans="32:46" ht="15.75" customHeight="1" x14ac:dyDescent="0.25"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Q413" s="83"/>
      <c r="AR413" s="83"/>
      <c r="AS413" s="83"/>
      <c r="AT413" s="53"/>
    </row>
    <row r="414" spans="32:46" ht="15.75" customHeight="1" x14ac:dyDescent="0.25"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Q414" s="83"/>
      <c r="AR414" s="83"/>
      <c r="AS414" s="83"/>
      <c r="AT414" s="53"/>
    </row>
    <row r="415" spans="32:46" ht="15.75" customHeight="1" x14ac:dyDescent="0.25"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Q415" s="83"/>
      <c r="AR415" s="83"/>
      <c r="AS415" s="83"/>
      <c r="AT415" s="53"/>
    </row>
    <row r="416" spans="32:46" ht="15.75" customHeight="1" x14ac:dyDescent="0.25"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Q416" s="83"/>
      <c r="AR416" s="83"/>
      <c r="AS416" s="83"/>
      <c r="AT416" s="53"/>
    </row>
    <row r="417" spans="32:46" ht="15.75" customHeight="1" x14ac:dyDescent="0.25"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Q417" s="83"/>
      <c r="AR417" s="83"/>
      <c r="AS417" s="83"/>
      <c r="AT417" s="53"/>
    </row>
    <row r="418" spans="32:46" ht="15.75" customHeight="1" x14ac:dyDescent="0.25"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Q418" s="83"/>
      <c r="AR418" s="83"/>
      <c r="AS418" s="83"/>
      <c r="AT418" s="53"/>
    </row>
    <row r="419" spans="32:46" ht="15.75" customHeight="1" x14ac:dyDescent="0.25"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Q419" s="83"/>
      <c r="AR419" s="83"/>
      <c r="AS419" s="83"/>
      <c r="AT419" s="53"/>
    </row>
    <row r="420" spans="32:46" ht="15.75" customHeight="1" x14ac:dyDescent="0.25"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Q420" s="83"/>
      <c r="AR420" s="83"/>
      <c r="AS420" s="83"/>
      <c r="AT420" s="53"/>
    </row>
    <row r="421" spans="32:46" ht="15.75" customHeight="1" x14ac:dyDescent="0.25"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Q421" s="83"/>
      <c r="AR421" s="83"/>
      <c r="AS421" s="83"/>
      <c r="AT421" s="53"/>
    </row>
    <row r="422" spans="32:46" ht="15.75" customHeight="1" x14ac:dyDescent="0.25"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Q422" s="83"/>
      <c r="AR422" s="83"/>
      <c r="AS422" s="83"/>
      <c r="AT422" s="53"/>
    </row>
    <row r="423" spans="32:46" ht="15.75" customHeight="1" x14ac:dyDescent="0.25"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Q423" s="83"/>
      <c r="AR423" s="83"/>
      <c r="AS423" s="83"/>
      <c r="AT423" s="53"/>
    </row>
    <row r="424" spans="32:46" ht="15.75" customHeight="1" x14ac:dyDescent="0.25"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Q424" s="83"/>
      <c r="AR424" s="83"/>
      <c r="AS424" s="83"/>
      <c r="AT424" s="53"/>
    </row>
    <row r="425" spans="32:46" ht="15.75" customHeight="1" x14ac:dyDescent="0.25"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Q425" s="83"/>
      <c r="AR425" s="83"/>
      <c r="AS425" s="83"/>
      <c r="AT425" s="53"/>
    </row>
    <row r="426" spans="32:46" ht="15.75" customHeight="1" x14ac:dyDescent="0.25"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Q426" s="83"/>
      <c r="AR426" s="83"/>
      <c r="AS426" s="83"/>
      <c r="AT426" s="53"/>
    </row>
    <row r="427" spans="32:46" ht="15.75" customHeight="1" x14ac:dyDescent="0.25"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Q427" s="83"/>
      <c r="AR427" s="83"/>
      <c r="AS427" s="83"/>
      <c r="AT427" s="53"/>
    </row>
    <row r="428" spans="32:46" ht="15.75" customHeight="1" x14ac:dyDescent="0.25"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Q428" s="83"/>
      <c r="AR428" s="83"/>
      <c r="AS428" s="83"/>
      <c r="AT428" s="53"/>
    </row>
    <row r="429" spans="32:46" ht="15.75" customHeight="1" x14ac:dyDescent="0.25"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Q429" s="83"/>
      <c r="AR429" s="83"/>
      <c r="AS429" s="83"/>
      <c r="AT429" s="53"/>
    </row>
    <row r="430" spans="32:46" ht="15.75" customHeight="1" x14ac:dyDescent="0.25"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Q430" s="83"/>
      <c r="AR430" s="83"/>
      <c r="AS430" s="83"/>
      <c r="AT430" s="53"/>
    </row>
    <row r="431" spans="32:46" ht="15.75" customHeight="1" x14ac:dyDescent="0.25"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Q431" s="83"/>
      <c r="AR431" s="83"/>
      <c r="AS431" s="83"/>
      <c r="AT431" s="53"/>
    </row>
    <row r="432" spans="32:46" ht="15.75" customHeight="1" x14ac:dyDescent="0.25"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Q432" s="83"/>
      <c r="AR432" s="83"/>
      <c r="AS432" s="83"/>
      <c r="AT432" s="53"/>
    </row>
    <row r="433" spans="32:46" ht="15.75" customHeight="1" x14ac:dyDescent="0.25"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Q433" s="83"/>
      <c r="AR433" s="83"/>
      <c r="AS433" s="83"/>
      <c r="AT433" s="53"/>
    </row>
    <row r="434" spans="32:46" ht="15.75" customHeight="1" x14ac:dyDescent="0.25"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Q434" s="83"/>
      <c r="AR434" s="83"/>
      <c r="AS434" s="83"/>
      <c r="AT434" s="53"/>
    </row>
    <row r="435" spans="32:46" ht="15.75" customHeight="1" x14ac:dyDescent="0.25"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Q435" s="83"/>
      <c r="AR435" s="83"/>
      <c r="AS435" s="83"/>
      <c r="AT435" s="53"/>
    </row>
    <row r="436" spans="32:46" ht="15.75" customHeight="1" x14ac:dyDescent="0.25"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Q436" s="83"/>
      <c r="AR436" s="83"/>
      <c r="AS436" s="83"/>
      <c r="AT436" s="53"/>
    </row>
    <row r="437" spans="32:46" ht="15.75" customHeight="1" x14ac:dyDescent="0.25"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Q437" s="83"/>
      <c r="AR437" s="83"/>
      <c r="AS437" s="83"/>
      <c r="AT437" s="53"/>
    </row>
    <row r="438" spans="32:46" ht="15.75" customHeight="1" x14ac:dyDescent="0.25"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Q438" s="83"/>
      <c r="AR438" s="83"/>
      <c r="AS438" s="83"/>
      <c r="AT438" s="53"/>
    </row>
    <row r="439" spans="32:46" ht="15.75" customHeight="1" x14ac:dyDescent="0.25"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Q439" s="83"/>
      <c r="AR439" s="83"/>
      <c r="AS439" s="83"/>
      <c r="AT439" s="53"/>
    </row>
    <row r="440" spans="32:46" ht="15.75" customHeight="1" x14ac:dyDescent="0.25"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Q440" s="83"/>
      <c r="AR440" s="83"/>
      <c r="AS440" s="83"/>
      <c r="AT440" s="53"/>
    </row>
    <row r="441" spans="32:46" ht="15.75" customHeight="1" x14ac:dyDescent="0.25"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Q441" s="83"/>
      <c r="AR441" s="83"/>
      <c r="AS441" s="83"/>
      <c r="AT441" s="53"/>
    </row>
    <row r="442" spans="32:46" ht="15.75" customHeight="1" x14ac:dyDescent="0.25"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Q442" s="83"/>
      <c r="AR442" s="83"/>
      <c r="AS442" s="83"/>
      <c r="AT442" s="53"/>
    </row>
    <row r="443" spans="32:46" ht="15.75" customHeight="1" x14ac:dyDescent="0.25"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Q443" s="83"/>
      <c r="AR443" s="83"/>
      <c r="AS443" s="83"/>
      <c r="AT443" s="53"/>
    </row>
    <row r="444" spans="32:46" ht="15.75" customHeight="1" x14ac:dyDescent="0.25"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Q444" s="83"/>
      <c r="AR444" s="83"/>
      <c r="AS444" s="83"/>
      <c r="AT444" s="53"/>
    </row>
    <row r="445" spans="32:46" ht="15.75" customHeight="1" x14ac:dyDescent="0.25"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Q445" s="83"/>
      <c r="AR445" s="83"/>
      <c r="AS445" s="83"/>
      <c r="AT445" s="53"/>
    </row>
    <row r="446" spans="32:46" ht="15.75" customHeight="1" x14ac:dyDescent="0.25"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Q446" s="83"/>
      <c r="AR446" s="83"/>
      <c r="AS446" s="83"/>
      <c r="AT446" s="53"/>
    </row>
    <row r="447" spans="32:46" ht="15.75" customHeight="1" x14ac:dyDescent="0.25"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Q447" s="83"/>
      <c r="AR447" s="83"/>
      <c r="AS447" s="83"/>
      <c r="AT447" s="53"/>
    </row>
    <row r="448" spans="32:46" ht="15.75" customHeight="1" x14ac:dyDescent="0.25"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Q448" s="83"/>
      <c r="AR448" s="83"/>
      <c r="AS448" s="83"/>
      <c r="AT448" s="53"/>
    </row>
    <row r="449" spans="32:46" ht="15.75" customHeight="1" x14ac:dyDescent="0.25"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Q449" s="83"/>
      <c r="AR449" s="83"/>
      <c r="AS449" s="83"/>
      <c r="AT449" s="53"/>
    </row>
    <row r="450" spans="32:46" ht="15.75" customHeight="1" x14ac:dyDescent="0.25"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Q450" s="83"/>
      <c r="AR450" s="83"/>
      <c r="AS450" s="83"/>
      <c r="AT450" s="53"/>
    </row>
    <row r="451" spans="32:46" ht="15.75" customHeight="1" x14ac:dyDescent="0.25"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Q451" s="83"/>
      <c r="AR451" s="83"/>
      <c r="AS451" s="83"/>
      <c r="AT451" s="53"/>
    </row>
    <row r="452" spans="32:46" ht="15.75" customHeight="1" x14ac:dyDescent="0.25"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Q452" s="83"/>
      <c r="AR452" s="83"/>
      <c r="AS452" s="83"/>
      <c r="AT452" s="53"/>
    </row>
    <row r="453" spans="32:46" ht="15.75" customHeight="1" x14ac:dyDescent="0.25"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Q453" s="83"/>
      <c r="AR453" s="83"/>
      <c r="AS453" s="83"/>
      <c r="AT453" s="53"/>
    </row>
    <row r="454" spans="32:46" ht="15.75" customHeight="1" x14ac:dyDescent="0.25"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Q454" s="83"/>
      <c r="AR454" s="83"/>
      <c r="AS454" s="83"/>
      <c r="AT454" s="53"/>
    </row>
    <row r="455" spans="32:46" ht="15.75" customHeight="1" x14ac:dyDescent="0.25"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Q455" s="83"/>
      <c r="AR455" s="83"/>
      <c r="AS455" s="83"/>
      <c r="AT455" s="53"/>
    </row>
    <row r="456" spans="32:46" ht="15.75" customHeight="1" x14ac:dyDescent="0.25"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Q456" s="83"/>
      <c r="AR456" s="83"/>
      <c r="AS456" s="83"/>
      <c r="AT456" s="53"/>
    </row>
    <row r="457" spans="32:46" ht="15.75" customHeight="1" x14ac:dyDescent="0.25"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Q457" s="83"/>
      <c r="AR457" s="83"/>
      <c r="AS457" s="83"/>
      <c r="AT457" s="53"/>
    </row>
    <row r="458" spans="32:46" ht="15.75" customHeight="1" x14ac:dyDescent="0.25"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Q458" s="83"/>
      <c r="AR458" s="83"/>
      <c r="AS458" s="83"/>
      <c r="AT458" s="53"/>
    </row>
    <row r="459" spans="32:46" ht="15.75" customHeight="1" x14ac:dyDescent="0.25"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Q459" s="83"/>
      <c r="AR459" s="83"/>
      <c r="AS459" s="83"/>
      <c r="AT459" s="53"/>
    </row>
    <row r="460" spans="32:46" ht="15.75" customHeight="1" x14ac:dyDescent="0.25"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Q460" s="83"/>
      <c r="AR460" s="83"/>
      <c r="AS460" s="83"/>
      <c r="AT460" s="53"/>
    </row>
    <row r="461" spans="32:46" ht="15.75" customHeight="1" x14ac:dyDescent="0.25"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Q461" s="83"/>
      <c r="AR461" s="83"/>
      <c r="AS461" s="83"/>
      <c r="AT461" s="53"/>
    </row>
    <row r="462" spans="32:46" ht="15.75" customHeight="1" x14ac:dyDescent="0.25"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Q462" s="83"/>
      <c r="AR462" s="83"/>
      <c r="AS462" s="83"/>
      <c r="AT462" s="53"/>
    </row>
    <row r="463" spans="32:46" ht="15.75" customHeight="1" x14ac:dyDescent="0.25"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Q463" s="83"/>
      <c r="AR463" s="83"/>
      <c r="AS463" s="83"/>
      <c r="AT463" s="53"/>
    </row>
    <row r="464" spans="32:46" ht="15.75" customHeight="1" x14ac:dyDescent="0.25"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Q464" s="83"/>
      <c r="AR464" s="83"/>
      <c r="AS464" s="83"/>
      <c r="AT464" s="53"/>
    </row>
    <row r="465" spans="32:46" ht="15.75" customHeight="1" x14ac:dyDescent="0.25"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Q465" s="83"/>
      <c r="AR465" s="83"/>
      <c r="AS465" s="83"/>
      <c r="AT465" s="53"/>
    </row>
    <row r="466" spans="32:46" ht="15.75" customHeight="1" x14ac:dyDescent="0.25"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Q466" s="83"/>
      <c r="AR466" s="83"/>
      <c r="AS466" s="83"/>
      <c r="AT466" s="53"/>
    </row>
    <row r="467" spans="32:46" ht="15.75" customHeight="1" x14ac:dyDescent="0.25"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Q467" s="83"/>
      <c r="AR467" s="83"/>
      <c r="AS467" s="83"/>
      <c r="AT467" s="53"/>
    </row>
    <row r="468" spans="32:46" ht="15.75" customHeight="1" x14ac:dyDescent="0.25"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Q468" s="83"/>
      <c r="AR468" s="83"/>
      <c r="AS468" s="83"/>
      <c r="AT468" s="53"/>
    </row>
    <row r="469" spans="32:46" ht="15.75" customHeight="1" x14ac:dyDescent="0.25"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Q469" s="83"/>
      <c r="AR469" s="83"/>
      <c r="AS469" s="83"/>
      <c r="AT469" s="53"/>
    </row>
    <row r="470" spans="32:46" ht="15.75" customHeight="1" x14ac:dyDescent="0.25"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Q470" s="83"/>
      <c r="AR470" s="83"/>
      <c r="AS470" s="83"/>
      <c r="AT470" s="53"/>
    </row>
    <row r="471" spans="32:46" ht="15.75" customHeight="1" x14ac:dyDescent="0.25"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Q471" s="83"/>
      <c r="AR471" s="83"/>
      <c r="AS471" s="83"/>
      <c r="AT471" s="53"/>
    </row>
    <row r="472" spans="32:46" ht="15.75" customHeight="1" x14ac:dyDescent="0.25"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Q472" s="83"/>
      <c r="AR472" s="83"/>
      <c r="AS472" s="83"/>
      <c r="AT472" s="53"/>
    </row>
    <row r="473" spans="32:46" ht="15.75" customHeight="1" x14ac:dyDescent="0.25"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Q473" s="83"/>
      <c r="AR473" s="83"/>
      <c r="AS473" s="83"/>
      <c r="AT473" s="53"/>
    </row>
    <row r="474" spans="32:46" ht="15.75" customHeight="1" x14ac:dyDescent="0.25"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Q474" s="83"/>
      <c r="AR474" s="83"/>
      <c r="AS474" s="83"/>
      <c r="AT474" s="53"/>
    </row>
    <row r="475" spans="32:46" ht="15.75" customHeight="1" x14ac:dyDescent="0.25"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Q475" s="83"/>
      <c r="AR475" s="83"/>
      <c r="AS475" s="83"/>
      <c r="AT475" s="53"/>
    </row>
    <row r="476" spans="32:46" ht="15.75" customHeight="1" x14ac:dyDescent="0.25"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Q476" s="83"/>
      <c r="AR476" s="83"/>
      <c r="AS476" s="83"/>
      <c r="AT476" s="53"/>
    </row>
    <row r="477" spans="32:46" ht="15.75" customHeight="1" x14ac:dyDescent="0.25"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Q477" s="83"/>
      <c r="AR477" s="83"/>
      <c r="AS477" s="83"/>
      <c r="AT477" s="53"/>
    </row>
    <row r="478" spans="32:46" ht="15.75" customHeight="1" x14ac:dyDescent="0.25"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Q478" s="83"/>
      <c r="AR478" s="83"/>
      <c r="AS478" s="83"/>
      <c r="AT478" s="53"/>
    </row>
    <row r="479" spans="32:46" ht="15.75" customHeight="1" x14ac:dyDescent="0.25"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Q479" s="83"/>
      <c r="AR479" s="83"/>
      <c r="AS479" s="83"/>
      <c r="AT479" s="53"/>
    </row>
    <row r="480" spans="32:46" ht="15.75" customHeight="1" x14ac:dyDescent="0.25"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Q480" s="83"/>
      <c r="AR480" s="83"/>
      <c r="AS480" s="83"/>
      <c r="AT480" s="53"/>
    </row>
    <row r="481" spans="32:46" ht="15.75" customHeight="1" x14ac:dyDescent="0.25"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Q481" s="83"/>
      <c r="AR481" s="83"/>
      <c r="AS481" s="83"/>
      <c r="AT481" s="53"/>
    </row>
    <row r="482" spans="32:46" ht="15.75" customHeight="1" x14ac:dyDescent="0.25"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Q482" s="83"/>
      <c r="AR482" s="83"/>
      <c r="AS482" s="83"/>
      <c r="AT482" s="53"/>
    </row>
    <row r="483" spans="32:46" ht="15.75" customHeight="1" x14ac:dyDescent="0.25"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Q483" s="83"/>
      <c r="AR483" s="83"/>
      <c r="AS483" s="83"/>
      <c r="AT483" s="53"/>
    </row>
    <row r="484" spans="32:46" ht="15.75" customHeight="1" x14ac:dyDescent="0.25"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Q484" s="83"/>
      <c r="AR484" s="83"/>
      <c r="AS484" s="83"/>
      <c r="AT484" s="53"/>
    </row>
    <row r="485" spans="32:46" ht="15.75" customHeight="1" x14ac:dyDescent="0.25"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Q485" s="83"/>
      <c r="AR485" s="83"/>
      <c r="AS485" s="83"/>
      <c r="AT485" s="53"/>
    </row>
    <row r="486" spans="32:46" ht="15.75" customHeight="1" x14ac:dyDescent="0.25"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Q486" s="83"/>
      <c r="AR486" s="83"/>
      <c r="AS486" s="83"/>
      <c r="AT486" s="53"/>
    </row>
    <row r="487" spans="32:46" ht="15.75" customHeight="1" x14ac:dyDescent="0.25"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Q487" s="83"/>
      <c r="AR487" s="83"/>
      <c r="AS487" s="83"/>
      <c r="AT487" s="53"/>
    </row>
    <row r="488" spans="32:46" ht="15.75" customHeight="1" x14ac:dyDescent="0.25"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Q488" s="83"/>
      <c r="AR488" s="83"/>
      <c r="AS488" s="83"/>
      <c r="AT488" s="53"/>
    </row>
    <row r="489" spans="32:46" ht="15.75" customHeight="1" x14ac:dyDescent="0.25"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Q489" s="83"/>
      <c r="AR489" s="83"/>
      <c r="AS489" s="83"/>
      <c r="AT489" s="53"/>
    </row>
    <row r="490" spans="32:46" ht="15.75" customHeight="1" x14ac:dyDescent="0.25"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Q490" s="83"/>
      <c r="AR490" s="83"/>
      <c r="AS490" s="83"/>
      <c r="AT490" s="53"/>
    </row>
    <row r="491" spans="32:46" ht="15.75" customHeight="1" x14ac:dyDescent="0.25"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Q491" s="83"/>
      <c r="AR491" s="83"/>
      <c r="AS491" s="83"/>
      <c r="AT491" s="53"/>
    </row>
    <row r="492" spans="32:46" ht="15.75" customHeight="1" x14ac:dyDescent="0.25"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Q492" s="83"/>
      <c r="AR492" s="83"/>
      <c r="AS492" s="83"/>
      <c r="AT492" s="53"/>
    </row>
    <row r="493" spans="32:46" ht="15.75" customHeight="1" x14ac:dyDescent="0.25"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Q493" s="83"/>
      <c r="AR493" s="83"/>
      <c r="AS493" s="83"/>
      <c r="AT493" s="53"/>
    </row>
    <row r="494" spans="32:46" ht="15.75" customHeight="1" x14ac:dyDescent="0.25"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Q494" s="83"/>
      <c r="AR494" s="83"/>
      <c r="AS494" s="83"/>
      <c r="AT494" s="53"/>
    </row>
    <row r="495" spans="32:46" ht="15.75" customHeight="1" x14ac:dyDescent="0.25"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Q495" s="83"/>
      <c r="AR495" s="83"/>
      <c r="AS495" s="83"/>
      <c r="AT495" s="53"/>
    </row>
    <row r="496" spans="32:46" ht="15.75" customHeight="1" x14ac:dyDescent="0.25"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Q496" s="83"/>
      <c r="AR496" s="83"/>
      <c r="AS496" s="83"/>
      <c r="AT496" s="53"/>
    </row>
    <row r="497" spans="32:46" ht="15.75" customHeight="1" x14ac:dyDescent="0.25"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Q497" s="83"/>
      <c r="AR497" s="83"/>
      <c r="AS497" s="83"/>
      <c r="AT497" s="53"/>
    </row>
    <row r="498" spans="32:46" ht="15.75" customHeight="1" x14ac:dyDescent="0.25"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Q498" s="83"/>
      <c r="AR498" s="83"/>
      <c r="AS498" s="83"/>
      <c r="AT498" s="53"/>
    </row>
    <row r="499" spans="32:46" ht="15.75" customHeight="1" x14ac:dyDescent="0.25"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Q499" s="83"/>
      <c r="AR499" s="83"/>
      <c r="AS499" s="83"/>
      <c r="AT499" s="53"/>
    </row>
    <row r="500" spans="32:46" ht="15.75" customHeight="1" x14ac:dyDescent="0.25"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Q500" s="83"/>
      <c r="AR500" s="83"/>
      <c r="AS500" s="83"/>
      <c r="AT500" s="53"/>
    </row>
    <row r="501" spans="32:46" ht="15.75" customHeight="1" x14ac:dyDescent="0.25"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Q501" s="83"/>
      <c r="AR501" s="83"/>
      <c r="AS501" s="83"/>
      <c r="AT501" s="53"/>
    </row>
    <row r="502" spans="32:46" ht="15.75" customHeight="1" x14ac:dyDescent="0.25"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Q502" s="83"/>
      <c r="AR502" s="83"/>
      <c r="AS502" s="83"/>
      <c r="AT502" s="53"/>
    </row>
    <row r="503" spans="32:46" ht="15.75" customHeight="1" x14ac:dyDescent="0.25"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Q503" s="83"/>
      <c r="AR503" s="83"/>
      <c r="AS503" s="83"/>
      <c r="AT503" s="53"/>
    </row>
    <row r="504" spans="32:46" ht="15.75" customHeight="1" x14ac:dyDescent="0.25"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Q504" s="83"/>
      <c r="AR504" s="83"/>
      <c r="AS504" s="83"/>
      <c r="AT504" s="53"/>
    </row>
    <row r="505" spans="32:46" ht="15.75" customHeight="1" x14ac:dyDescent="0.25"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Q505" s="83"/>
      <c r="AR505" s="83"/>
      <c r="AS505" s="83"/>
      <c r="AT505" s="53"/>
    </row>
    <row r="506" spans="32:46" ht="15.75" customHeight="1" x14ac:dyDescent="0.25"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Q506" s="83"/>
      <c r="AR506" s="83"/>
      <c r="AS506" s="83"/>
      <c r="AT506" s="53"/>
    </row>
    <row r="507" spans="32:46" ht="15.75" customHeight="1" x14ac:dyDescent="0.25"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Q507" s="83"/>
      <c r="AR507" s="83"/>
      <c r="AS507" s="83"/>
      <c r="AT507" s="53"/>
    </row>
    <row r="508" spans="32:46" ht="15.75" customHeight="1" x14ac:dyDescent="0.25"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Q508" s="83"/>
      <c r="AR508" s="83"/>
      <c r="AS508" s="83"/>
      <c r="AT508" s="53"/>
    </row>
    <row r="509" spans="32:46" ht="15.75" customHeight="1" x14ac:dyDescent="0.25"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Q509" s="83"/>
      <c r="AR509" s="83"/>
      <c r="AS509" s="83"/>
      <c r="AT509" s="53"/>
    </row>
    <row r="510" spans="32:46" ht="15.75" customHeight="1" x14ac:dyDescent="0.25"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Q510" s="83"/>
      <c r="AR510" s="83"/>
      <c r="AS510" s="83"/>
      <c r="AT510" s="53"/>
    </row>
    <row r="511" spans="32:46" ht="15.75" customHeight="1" x14ac:dyDescent="0.25"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Q511" s="83"/>
      <c r="AR511" s="83"/>
      <c r="AS511" s="83"/>
      <c r="AT511" s="53"/>
    </row>
    <row r="512" spans="32:46" ht="15.75" customHeight="1" x14ac:dyDescent="0.25"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Q512" s="83"/>
      <c r="AR512" s="83"/>
      <c r="AS512" s="83"/>
      <c r="AT512" s="53"/>
    </row>
    <row r="513" spans="32:46" ht="15.75" customHeight="1" x14ac:dyDescent="0.25"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Q513" s="83"/>
      <c r="AR513" s="83"/>
      <c r="AS513" s="83"/>
      <c r="AT513" s="53"/>
    </row>
    <row r="514" spans="32:46" ht="15.75" customHeight="1" x14ac:dyDescent="0.25"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Q514" s="83"/>
      <c r="AR514" s="83"/>
      <c r="AS514" s="83"/>
      <c r="AT514" s="53"/>
    </row>
    <row r="515" spans="32:46" ht="15.75" customHeight="1" x14ac:dyDescent="0.25"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Q515" s="83"/>
      <c r="AR515" s="83"/>
      <c r="AS515" s="83"/>
      <c r="AT515" s="53"/>
    </row>
    <row r="516" spans="32:46" ht="15.75" customHeight="1" x14ac:dyDescent="0.25"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Q516" s="83"/>
      <c r="AR516" s="83"/>
      <c r="AS516" s="83"/>
      <c r="AT516" s="53"/>
    </row>
    <row r="517" spans="32:46" ht="15.75" customHeight="1" x14ac:dyDescent="0.25"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Q517" s="83"/>
      <c r="AR517" s="83"/>
      <c r="AS517" s="83"/>
      <c r="AT517" s="53"/>
    </row>
    <row r="518" spans="32:46" ht="15.75" customHeight="1" x14ac:dyDescent="0.25"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Q518" s="83"/>
      <c r="AR518" s="83"/>
      <c r="AS518" s="83"/>
      <c r="AT518" s="53"/>
    </row>
    <row r="519" spans="32:46" ht="15.75" customHeight="1" x14ac:dyDescent="0.25"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Q519" s="83"/>
      <c r="AR519" s="83"/>
      <c r="AS519" s="83"/>
      <c r="AT519" s="53"/>
    </row>
    <row r="520" spans="32:46" ht="15.75" customHeight="1" x14ac:dyDescent="0.25"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Q520" s="83"/>
      <c r="AR520" s="83"/>
      <c r="AS520" s="83"/>
      <c r="AT520" s="53"/>
    </row>
    <row r="521" spans="32:46" ht="15.75" customHeight="1" x14ac:dyDescent="0.25"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Q521" s="83"/>
      <c r="AR521" s="83"/>
      <c r="AS521" s="83"/>
      <c r="AT521" s="53"/>
    </row>
    <row r="522" spans="32:46" ht="15.75" customHeight="1" x14ac:dyDescent="0.25"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Q522" s="83"/>
      <c r="AR522" s="83"/>
      <c r="AS522" s="83"/>
      <c r="AT522" s="53"/>
    </row>
    <row r="523" spans="32:46" ht="15.75" customHeight="1" x14ac:dyDescent="0.25"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Q523" s="83"/>
      <c r="AR523" s="83"/>
      <c r="AS523" s="83"/>
      <c r="AT523" s="53"/>
    </row>
    <row r="524" spans="32:46" ht="15.75" customHeight="1" x14ac:dyDescent="0.25"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Q524" s="83"/>
      <c r="AR524" s="83"/>
      <c r="AS524" s="83"/>
      <c r="AT524" s="53"/>
    </row>
    <row r="525" spans="32:46" ht="15.75" customHeight="1" x14ac:dyDescent="0.25"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Q525" s="83"/>
      <c r="AR525" s="83"/>
      <c r="AS525" s="83"/>
      <c r="AT525" s="53"/>
    </row>
    <row r="526" spans="32:46" ht="15.75" customHeight="1" x14ac:dyDescent="0.25"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Q526" s="83"/>
      <c r="AR526" s="83"/>
      <c r="AS526" s="83"/>
      <c r="AT526" s="53"/>
    </row>
    <row r="527" spans="32:46" ht="15.75" customHeight="1" x14ac:dyDescent="0.25"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Q527" s="83"/>
      <c r="AR527" s="83"/>
      <c r="AS527" s="83"/>
      <c r="AT527" s="53"/>
    </row>
    <row r="528" spans="32:46" ht="15.75" customHeight="1" x14ac:dyDescent="0.25"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Q528" s="83"/>
      <c r="AR528" s="83"/>
      <c r="AS528" s="83"/>
      <c r="AT528" s="53"/>
    </row>
    <row r="529" spans="32:46" ht="15.75" customHeight="1" x14ac:dyDescent="0.25"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Q529" s="83"/>
      <c r="AR529" s="83"/>
      <c r="AS529" s="83"/>
      <c r="AT529" s="53"/>
    </row>
    <row r="530" spans="32:46" ht="15.75" customHeight="1" x14ac:dyDescent="0.25"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Q530" s="83"/>
      <c r="AR530" s="83"/>
      <c r="AS530" s="83"/>
      <c r="AT530" s="53"/>
    </row>
    <row r="531" spans="32:46" ht="15.75" customHeight="1" x14ac:dyDescent="0.25"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Q531" s="83"/>
      <c r="AR531" s="83"/>
      <c r="AS531" s="83"/>
      <c r="AT531" s="53"/>
    </row>
    <row r="532" spans="32:46" ht="15.75" customHeight="1" x14ac:dyDescent="0.25"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Q532" s="83"/>
      <c r="AR532" s="83"/>
      <c r="AS532" s="83"/>
      <c r="AT532" s="53"/>
    </row>
    <row r="533" spans="32:46" ht="15.75" customHeight="1" x14ac:dyDescent="0.25"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Q533" s="83"/>
      <c r="AR533" s="83"/>
      <c r="AS533" s="83"/>
      <c r="AT533" s="53"/>
    </row>
    <row r="534" spans="32:46" ht="15.75" customHeight="1" x14ac:dyDescent="0.25"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Q534" s="83"/>
      <c r="AR534" s="83"/>
      <c r="AS534" s="83"/>
      <c r="AT534" s="53"/>
    </row>
    <row r="535" spans="32:46" ht="15.75" customHeight="1" x14ac:dyDescent="0.25"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Q535" s="83"/>
      <c r="AR535" s="83"/>
      <c r="AS535" s="83"/>
      <c r="AT535" s="53"/>
    </row>
    <row r="536" spans="32:46" ht="15.75" customHeight="1" x14ac:dyDescent="0.25"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Q536" s="83"/>
      <c r="AR536" s="83"/>
      <c r="AS536" s="83"/>
      <c r="AT536" s="53"/>
    </row>
    <row r="537" spans="32:46" ht="15.75" customHeight="1" x14ac:dyDescent="0.25"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Q537" s="83"/>
      <c r="AR537" s="83"/>
      <c r="AS537" s="83"/>
      <c r="AT537" s="53"/>
    </row>
    <row r="538" spans="32:46" ht="15.75" customHeight="1" x14ac:dyDescent="0.25"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Q538" s="83"/>
      <c r="AR538" s="83"/>
      <c r="AS538" s="83"/>
      <c r="AT538" s="53"/>
    </row>
    <row r="539" spans="32:46" ht="15.75" customHeight="1" x14ac:dyDescent="0.25"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Q539" s="83"/>
      <c r="AR539" s="83"/>
      <c r="AS539" s="83"/>
      <c r="AT539" s="53"/>
    </row>
    <row r="540" spans="32:46" ht="15.75" customHeight="1" x14ac:dyDescent="0.25"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Q540" s="83"/>
      <c r="AR540" s="83"/>
      <c r="AS540" s="83"/>
      <c r="AT540" s="53"/>
    </row>
    <row r="541" spans="32:46" ht="15.75" customHeight="1" x14ac:dyDescent="0.25"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Q541" s="83"/>
      <c r="AR541" s="83"/>
      <c r="AS541" s="83"/>
      <c r="AT541" s="53"/>
    </row>
    <row r="542" spans="32:46" ht="15.75" customHeight="1" x14ac:dyDescent="0.25"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Q542" s="83"/>
      <c r="AR542" s="83"/>
      <c r="AS542" s="83"/>
      <c r="AT542" s="53"/>
    </row>
    <row r="543" spans="32:46" ht="15.75" customHeight="1" x14ac:dyDescent="0.25"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Q543" s="83"/>
      <c r="AR543" s="83"/>
      <c r="AS543" s="83"/>
      <c r="AT543" s="53"/>
    </row>
    <row r="544" spans="32:46" ht="15.75" customHeight="1" x14ac:dyDescent="0.25"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Q544" s="83"/>
      <c r="AR544" s="83"/>
      <c r="AS544" s="83"/>
      <c r="AT544" s="53"/>
    </row>
    <row r="545" spans="32:46" ht="15.75" customHeight="1" x14ac:dyDescent="0.25"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Q545" s="83"/>
      <c r="AR545" s="83"/>
      <c r="AS545" s="83"/>
      <c r="AT545" s="53"/>
    </row>
    <row r="546" spans="32:46" ht="15.75" customHeight="1" x14ac:dyDescent="0.25"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Q546" s="83"/>
      <c r="AR546" s="83"/>
      <c r="AS546" s="83"/>
      <c r="AT546" s="53"/>
    </row>
    <row r="547" spans="32:46" ht="15.75" customHeight="1" x14ac:dyDescent="0.25"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Q547" s="83"/>
      <c r="AR547" s="83"/>
      <c r="AS547" s="83"/>
      <c r="AT547" s="53"/>
    </row>
    <row r="548" spans="32:46" ht="15.75" customHeight="1" x14ac:dyDescent="0.25"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Q548" s="83"/>
      <c r="AR548" s="83"/>
      <c r="AS548" s="83"/>
      <c r="AT548" s="53"/>
    </row>
    <row r="549" spans="32:46" ht="15.75" customHeight="1" x14ac:dyDescent="0.25"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Q549" s="83"/>
      <c r="AR549" s="83"/>
      <c r="AS549" s="83"/>
      <c r="AT549" s="53"/>
    </row>
    <row r="550" spans="32:46" ht="15.75" customHeight="1" x14ac:dyDescent="0.25"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Q550" s="83"/>
      <c r="AR550" s="83"/>
      <c r="AS550" s="83"/>
      <c r="AT550" s="53"/>
    </row>
    <row r="551" spans="32:46" ht="15.75" customHeight="1" x14ac:dyDescent="0.25"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Q551" s="83"/>
      <c r="AR551" s="83"/>
      <c r="AS551" s="83"/>
      <c r="AT551" s="53"/>
    </row>
    <row r="552" spans="32:46" ht="15.75" customHeight="1" x14ac:dyDescent="0.25"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Q552" s="83"/>
      <c r="AR552" s="83"/>
      <c r="AS552" s="83"/>
      <c r="AT552" s="53"/>
    </row>
    <row r="553" spans="32:46" ht="15.75" customHeight="1" x14ac:dyDescent="0.25"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Q553" s="83"/>
      <c r="AR553" s="83"/>
      <c r="AS553" s="83"/>
      <c r="AT553" s="53"/>
    </row>
    <row r="554" spans="32:46" ht="15.75" customHeight="1" x14ac:dyDescent="0.25"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Q554" s="83"/>
      <c r="AR554" s="83"/>
      <c r="AS554" s="83"/>
      <c r="AT554" s="53"/>
    </row>
    <row r="555" spans="32:46" ht="15.75" customHeight="1" x14ac:dyDescent="0.25"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Q555" s="83"/>
      <c r="AR555" s="83"/>
      <c r="AS555" s="83"/>
      <c r="AT555" s="53"/>
    </row>
    <row r="556" spans="32:46" ht="15.75" customHeight="1" x14ac:dyDescent="0.25"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Q556" s="83"/>
      <c r="AR556" s="83"/>
      <c r="AS556" s="83"/>
      <c r="AT556" s="53"/>
    </row>
    <row r="557" spans="32:46" ht="15.75" customHeight="1" x14ac:dyDescent="0.25"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Q557" s="83"/>
      <c r="AR557" s="83"/>
      <c r="AS557" s="83"/>
      <c r="AT557" s="53"/>
    </row>
    <row r="558" spans="32:46" ht="15.75" customHeight="1" x14ac:dyDescent="0.25"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Q558" s="83"/>
      <c r="AR558" s="83"/>
      <c r="AS558" s="83"/>
      <c r="AT558" s="53"/>
    </row>
    <row r="559" spans="32:46" ht="15.75" customHeight="1" x14ac:dyDescent="0.25"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Q559" s="83"/>
      <c r="AR559" s="83"/>
      <c r="AS559" s="83"/>
      <c r="AT559" s="53"/>
    </row>
    <row r="560" spans="32:46" ht="15.75" customHeight="1" x14ac:dyDescent="0.25"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Q560" s="83"/>
      <c r="AR560" s="83"/>
      <c r="AS560" s="83"/>
      <c r="AT560" s="53"/>
    </row>
    <row r="561" spans="32:46" ht="15.75" customHeight="1" x14ac:dyDescent="0.25"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Q561" s="83"/>
      <c r="AR561" s="83"/>
      <c r="AS561" s="83"/>
      <c r="AT561" s="53"/>
    </row>
    <row r="562" spans="32:46" ht="15.75" customHeight="1" x14ac:dyDescent="0.25"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Q562" s="83"/>
      <c r="AR562" s="83"/>
      <c r="AS562" s="83"/>
      <c r="AT562" s="53"/>
    </row>
    <row r="563" spans="32:46" ht="15.75" customHeight="1" x14ac:dyDescent="0.25"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Q563" s="83"/>
      <c r="AR563" s="83"/>
      <c r="AS563" s="83"/>
      <c r="AT563" s="53"/>
    </row>
    <row r="564" spans="32:46" ht="15.75" customHeight="1" x14ac:dyDescent="0.25"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Q564" s="83"/>
      <c r="AR564" s="83"/>
      <c r="AS564" s="83"/>
      <c r="AT564" s="53"/>
    </row>
    <row r="565" spans="32:46" ht="15.75" customHeight="1" x14ac:dyDescent="0.25"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Q565" s="83"/>
      <c r="AR565" s="83"/>
      <c r="AS565" s="83"/>
      <c r="AT565" s="53"/>
    </row>
    <row r="566" spans="32:46" ht="15.75" customHeight="1" x14ac:dyDescent="0.25"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Q566" s="83"/>
      <c r="AR566" s="83"/>
      <c r="AS566" s="83"/>
      <c r="AT566" s="53"/>
    </row>
    <row r="567" spans="32:46" ht="15.75" customHeight="1" x14ac:dyDescent="0.25"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Q567" s="83"/>
      <c r="AR567" s="83"/>
      <c r="AS567" s="83"/>
      <c r="AT567" s="53"/>
    </row>
    <row r="568" spans="32:46" ht="15.75" customHeight="1" x14ac:dyDescent="0.25"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Q568" s="83"/>
      <c r="AR568" s="83"/>
      <c r="AS568" s="83"/>
      <c r="AT568" s="53"/>
    </row>
    <row r="569" spans="32:46" ht="15.75" customHeight="1" x14ac:dyDescent="0.25"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Q569" s="83"/>
      <c r="AR569" s="83"/>
      <c r="AS569" s="83"/>
      <c r="AT569" s="53"/>
    </row>
    <row r="570" spans="32:46" ht="15.75" customHeight="1" x14ac:dyDescent="0.25"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Q570" s="83"/>
      <c r="AR570" s="83"/>
      <c r="AS570" s="83"/>
      <c r="AT570" s="53"/>
    </row>
    <row r="571" spans="32:46" ht="15.75" customHeight="1" x14ac:dyDescent="0.25"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Q571" s="83"/>
      <c r="AR571" s="83"/>
      <c r="AS571" s="83"/>
      <c r="AT571" s="53"/>
    </row>
    <row r="572" spans="32:46" ht="15.75" customHeight="1" x14ac:dyDescent="0.25"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Q572" s="83"/>
      <c r="AR572" s="83"/>
      <c r="AS572" s="83"/>
      <c r="AT572" s="53"/>
    </row>
    <row r="573" spans="32:46" ht="15.75" customHeight="1" x14ac:dyDescent="0.25"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Q573" s="83"/>
      <c r="AR573" s="83"/>
      <c r="AS573" s="83"/>
      <c r="AT573" s="53"/>
    </row>
    <row r="574" spans="32:46" ht="15.75" customHeight="1" x14ac:dyDescent="0.25"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Q574" s="83"/>
      <c r="AR574" s="83"/>
      <c r="AS574" s="83"/>
      <c r="AT574" s="53"/>
    </row>
    <row r="575" spans="32:46" ht="15.75" customHeight="1" x14ac:dyDescent="0.25"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Q575" s="83"/>
      <c r="AR575" s="83"/>
      <c r="AS575" s="83"/>
      <c r="AT575" s="53"/>
    </row>
    <row r="576" spans="32:46" ht="15.75" customHeight="1" x14ac:dyDescent="0.25"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Q576" s="83"/>
      <c r="AR576" s="83"/>
      <c r="AS576" s="83"/>
      <c r="AT576" s="53"/>
    </row>
    <row r="577" spans="32:46" ht="15.75" customHeight="1" x14ac:dyDescent="0.25"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Q577" s="83"/>
      <c r="AR577" s="83"/>
      <c r="AS577" s="83"/>
      <c r="AT577" s="53"/>
    </row>
    <row r="578" spans="32:46" ht="15.75" customHeight="1" x14ac:dyDescent="0.25"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Q578" s="83"/>
      <c r="AR578" s="83"/>
      <c r="AS578" s="83"/>
      <c r="AT578" s="53"/>
    </row>
    <row r="579" spans="32:46" ht="15.75" customHeight="1" x14ac:dyDescent="0.25"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Q579" s="83"/>
      <c r="AR579" s="83"/>
      <c r="AS579" s="83"/>
      <c r="AT579" s="53"/>
    </row>
    <row r="580" spans="32:46" ht="15.75" customHeight="1" x14ac:dyDescent="0.25"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Q580" s="83"/>
      <c r="AR580" s="83"/>
      <c r="AS580" s="83"/>
      <c r="AT580" s="53"/>
    </row>
    <row r="581" spans="32:46" ht="15.75" customHeight="1" x14ac:dyDescent="0.25"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Q581" s="83"/>
      <c r="AR581" s="83"/>
      <c r="AS581" s="83"/>
      <c r="AT581" s="53"/>
    </row>
    <row r="582" spans="32:46" ht="15.75" customHeight="1" x14ac:dyDescent="0.25"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Q582" s="83"/>
      <c r="AR582" s="83"/>
      <c r="AS582" s="83"/>
      <c r="AT582" s="53"/>
    </row>
    <row r="583" spans="32:46" ht="15.75" customHeight="1" x14ac:dyDescent="0.25"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Q583" s="83"/>
      <c r="AR583" s="83"/>
      <c r="AS583" s="83"/>
      <c r="AT583" s="53"/>
    </row>
    <row r="584" spans="32:46" ht="15.75" customHeight="1" x14ac:dyDescent="0.25"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Q584" s="83"/>
      <c r="AR584" s="83"/>
      <c r="AS584" s="83"/>
      <c r="AT584" s="53"/>
    </row>
    <row r="585" spans="32:46" ht="15.75" customHeight="1" x14ac:dyDescent="0.25"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Q585" s="83"/>
      <c r="AR585" s="83"/>
      <c r="AS585" s="83"/>
      <c r="AT585" s="53"/>
    </row>
    <row r="586" spans="32:46" ht="15.75" customHeight="1" x14ac:dyDescent="0.25"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Q586" s="83"/>
      <c r="AR586" s="83"/>
      <c r="AS586" s="83"/>
      <c r="AT586" s="53"/>
    </row>
    <row r="587" spans="32:46" ht="15.75" customHeight="1" x14ac:dyDescent="0.25"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Q587" s="83"/>
      <c r="AR587" s="83"/>
      <c r="AS587" s="83"/>
      <c r="AT587" s="53"/>
    </row>
    <row r="588" spans="32:46" ht="15.75" customHeight="1" x14ac:dyDescent="0.25"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Q588" s="83"/>
      <c r="AR588" s="83"/>
      <c r="AS588" s="83"/>
      <c r="AT588" s="53"/>
    </row>
    <row r="589" spans="32:46" ht="15.75" customHeight="1" x14ac:dyDescent="0.25"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Q589" s="83"/>
      <c r="AR589" s="83"/>
      <c r="AS589" s="83"/>
      <c r="AT589" s="53"/>
    </row>
    <row r="590" spans="32:46" ht="15.75" customHeight="1" x14ac:dyDescent="0.25"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Q590" s="83"/>
      <c r="AR590" s="83"/>
      <c r="AS590" s="83"/>
      <c r="AT590" s="53"/>
    </row>
    <row r="591" spans="32:46" ht="15.75" customHeight="1" x14ac:dyDescent="0.25"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Q591" s="83"/>
      <c r="AR591" s="83"/>
      <c r="AS591" s="83"/>
      <c r="AT591" s="53"/>
    </row>
    <row r="592" spans="32:46" ht="15.75" customHeight="1" x14ac:dyDescent="0.25"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Q592" s="83"/>
      <c r="AR592" s="83"/>
      <c r="AS592" s="83"/>
      <c r="AT592" s="53"/>
    </row>
    <row r="593" spans="32:46" ht="15.75" customHeight="1" x14ac:dyDescent="0.25"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Q593" s="83"/>
      <c r="AR593" s="83"/>
      <c r="AS593" s="83"/>
      <c r="AT593" s="53"/>
    </row>
    <row r="594" spans="32:46" ht="15.75" customHeight="1" x14ac:dyDescent="0.25"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Q594" s="83"/>
      <c r="AR594" s="83"/>
      <c r="AS594" s="83"/>
      <c r="AT594" s="53"/>
    </row>
    <row r="595" spans="32:46" ht="15.75" customHeight="1" x14ac:dyDescent="0.25"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Q595" s="83"/>
      <c r="AR595" s="83"/>
      <c r="AS595" s="83"/>
      <c r="AT595" s="53"/>
    </row>
    <row r="596" spans="32:46" ht="15.75" customHeight="1" x14ac:dyDescent="0.25"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Q596" s="83"/>
      <c r="AR596" s="83"/>
      <c r="AS596" s="83"/>
      <c r="AT596" s="53"/>
    </row>
    <row r="597" spans="32:46" ht="15.75" customHeight="1" x14ac:dyDescent="0.25"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Q597" s="83"/>
      <c r="AR597" s="83"/>
      <c r="AS597" s="83"/>
      <c r="AT597" s="53"/>
    </row>
    <row r="598" spans="32:46" ht="15.75" customHeight="1" x14ac:dyDescent="0.25"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Q598" s="83"/>
      <c r="AR598" s="83"/>
      <c r="AS598" s="83"/>
      <c r="AT598" s="53"/>
    </row>
    <row r="599" spans="32:46" ht="15.75" customHeight="1" x14ac:dyDescent="0.25"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Q599" s="83"/>
      <c r="AR599" s="83"/>
      <c r="AS599" s="83"/>
      <c r="AT599" s="53"/>
    </row>
    <row r="600" spans="32:46" ht="15.75" customHeight="1" x14ac:dyDescent="0.25"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Q600" s="83"/>
      <c r="AR600" s="83"/>
      <c r="AS600" s="83"/>
      <c r="AT600" s="53"/>
    </row>
    <row r="601" spans="32:46" ht="15.75" customHeight="1" x14ac:dyDescent="0.25"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Q601" s="83"/>
      <c r="AR601" s="83"/>
      <c r="AS601" s="83"/>
      <c r="AT601" s="53"/>
    </row>
    <row r="602" spans="32:46" ht="15.75" customHeight="1" x14ac:dyDescent="0.25"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Q602" s="83"/>
      <c r="AR602" s="83"/>
      <c r="AS602" s="83"/>
      <c r="AT602" s="53"/>
    </row>
    <row r="603" spans="32:46" ht="15.75" customHeight="1" x14ac:dyDescent="0.25"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Q603" s="83"/>
      <c r="AR603" s="83"/>
      <c r="AS603" s="83"/>
      <c r="AT603" s="53"/>
    </row>
    <row r="604" spans="32:46" ht="15.75" customHeight="1" x14ac:dyDescent="0.25"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Q604" s="83"/>
      <c r="AR604" s="83"/>
      <c r="AS604" s="83"/>
      <c r="AT604" s="53"/>
    </row>
    <row r="605" spans="32:46" ht="15.75" customHeight="1" x14ac:dyDescent="0.25"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Q605" s="83"/>
      <c r="AR605" s="83"/>
      <c r="AS605" s="83"/>
      <c r="AT605" s="53"/>
    </row>
    <row r="606" spans="32:46" ht="15.75" customHeight="1" x14ac:dyDescent="0.25"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Q606" s="83"/>
      <c r="AR606" s="83"/>
      <c r="AS606" s="83"/>
      <c r="AT606" s="53"/>
    </row>
    <row r="607" spans="32:46" ht="15.75" customHeight="1" x14ac:dyDescent="0.25"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Q607" s="83"/>
      <c r="AR607" s="83"/>
      <c r="AS607" s="83"/>
      <c r="AT607" s="53"/>
    </row>
    <row r="608" spans="32:46" ht="15.75" customHeight="1" x14ac:dyDescent="0.25"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Q608" s="83"/>
      <c r="AR608" s="83"/>
      <c r="AS608" s="83"/>
      <c r="AT608" s="53"/>
    </row>
    <row r="609" spans="32:46" ht="15.75" customHeight="1" x14ac:dyDescent="0.25"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Q609" s="83"/>
      <c r="AR609" s="83"/>
      <c r="AS609" s="83"/>
      <c r="AT609" s="53"/>
    </row>
    <row r="610" spans="32:46" ht="15.75" customHeight="1" x14ac:dyDescent="0.25"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Q610" s="83"/>
      <c r="AR610" s="83"/>
      <c r="AS610" s="83"/>
      <c r="AT610" s="53"/>
    </row>
    <row r="611" spans="32:46" ht="15.75" customHeight="1" x14ac:dyDescent="0.25"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Q611" s="83"/>
      <c r="AR611" s="83"/>
      <c r="AS611" s="83"/>
      <c r="AT611" s="53"/>
    </row>
    <row r="612" spans="32:46" ht="15.75" customHeight="1" x14ac:dyDescent="0.25"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Q612" s="83"/>
      <c r="AR612" s="83"/>
      <c r="AS612" s="83"/>
      <c r="AT612" s="53"/>
    </row>
    <row r="613" spans="32:46" ht="15.75" customHeight="1" x14ac:dyDescent="0.25"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Q613" s="83"/>
      <c r="AR613" s="83"/>
      <c r="AS613" s="83"/>
      <c r="AT613" s="53"/>
    </row>
    <row r="614" spans="32:46" ht="15.75" customHeight="1" x14ac:dyDescent="0.25"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Q614" s="83"/>
      <c r="AR614" s="83"/>
      <c r="AS614" s="83"/>
      <c r="AT614" s="53"/>
    </row>
    <row r="615" spans="32:46" ht="15.75" customHeight="1" x14ac:dyDescent="0.25"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Q615" s="83"/>
      <c r="AR615" s="83"/>
      <c r="AS615" s="83"/>
      <c r="AT615" s="53"/>
    </row>
    <row r="616" spans="32:46" ht="15.75" customHeight="1" x14ac:dyDescent="0.25"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Q616" s="83"/>
      <c r="AR616" s="83"/>
      <c r="AS616" s="83"/>
      <c r="AT616" s="53"/>
    </row>
    <row r="617" spans="32:46" ht="15.75" customHeight="1" x14ac:dyDescent="0.25"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Q617" s="83"/>
      <c r="AR617" s="83"/>
      <c r="AS617" s="83"/>
      <c r="AT617" s="53"/>
    </row>
    <row r="618" spans="32:46" ht="15.75" customHeight="1" x14ac:dyDescent="0.25"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Q618" s="83"/>
      <c r="AR618" s="83"/>
      <c r="AS618" s="83"/>
      <c r="AT618" s="53"/>
    </row>
    <row r="619" spans="32:46" ht="15.75" customHeight="1" x14ac:dyDescent="0.25"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Q619" s="83"/>
      <c r="AR619" s="83"/>
      <c r="AS619" s="83"/>
      <c r="AT619" s="53"/>
    </row>
    <row r="620" spans="32:46" ht="15.75" customHeight="1" x14ac:dyDescent="0.25"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Q620" s="83"/>
      <c r="AR620" s="83"/>
      <c r="AS620" s="83"/>
      <c r="AT620" s="53"/>
    </row>
    <row r="621" spans="32:46" ht="15.75" customHeight="1" x14ac:dyDescent="0.25"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Q621" s="83"/>
      <c r="AR621" s="83"/>
      <c r="AS621" s="83"/>
      <c r="AT621" s="53"/>
    </row>
    <row r="622" spans="32:46" ht="15.75" customHeight="1" x14ac:dyDescent="0.25"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Q622" s="83"/>
      <c r="AR622" s="83"/>
      <c r="AS622" s="83"/>
      <c r="AT622" s="53"/>
    </row>
    <row r="623" spans="32:46" ht="15.75" customHeight="1" x14ac:dyDescent="0.25"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Q623" s="83"/>
      <c r="AR623" s="83"/>
      <c r="AS623" s="83"/>
      <c r="AT623" s="53"/>
    </row>
    <row r="624" spans="32:46" ht="15.75" customHeight="1" x14ac:dyDescent="0.25"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Q624" s="83"/>
      <c r="AR624" s="83"/>
      <c r="AS624" s="83"/>
      <c r="AT624" s="53"/>
    </row>
    <row r="625" spans="32:46" ht="15.75" customHeight="1" x14ac:dyDescent="0.25"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Q625" s="83"/>
      <c r="AR625" s="83"/>
      <c r="AS625" s="83"/>
      <c r="AT625" s="53"/>
    </row>
    <row r="626" spans="32:46" ht="15.75" customHeight="1" x14ac:dyDescent="0.25"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Q626" s="83"/>
      <c r="AR626" s="83"/>
      <c r="AS626" s="83"/>
      <c r="AT626" s="53"/>
    </row>
    <row r="627" spans="32:46" ht="15.75" customHeight="1" x14ac:dyDescent="0.25"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Q627" s="83"/>
      <c r="AR627" s="83"/>
      <c r="AS627" s="83"/>
      <c r="AT627" s="53"/>
    </row>
    <row r="628" spans="32:46" ht="15.75" customHeight="1" x14ac:dyDescent="0.25"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Q628" s="83"/>
      <c r="AR628" s="83"/>
      <c r="AS628" s="83"/>
      <c r="AT628" s="53"/>
    </row>
    <row r="629" spans="32:46" ht="15.75" customHeight="1" x14ac:dyDescent="0.25"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Q629" s="83"/>
      <c r="AR629" s="83"/>
      <c r="AS629" s="83"/>
      <c r="AT629" s="53"/>
    </row>
    <row r="630" spans="32:46" ht="15.75" customHeight="1" x14ac:dyDescent="0.25"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Q630" s="83"/>
      <c r="AR630" s="83"/>
      <c r="AS630" s="83"/>
      <c r="AT630" s="53"/>
    </row>
    <row r="631" spans="32:46" ht="15.75" customHeight="1" x14ac:dyDescent="0.25"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Q631" s="83"/>
      <c r="AR631" s="83"/>
      <c r="AS631" s="83"/>
      <c r="AT631" s="53"/>
    </row>
    <row r="632" spans="32:46" ht="15.75" customHeight="1" x14ac:dyDescent="0.25"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Q632" s="83"/>
      <c r="AR632" s="83"/>
      <c r="AS632" s="83"/>
      <c r="AT632" s="53"/>
    </row>
    <row r="633" spans="32:46" ht="15.75" customHeight="1" x14ac:dyDescent="0.25"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Q633" s="83"/>
      <c r="AR633" s="83"/>
      <c r="AS633" s="83"/>
      <c r="AT633" s="53"/>
    </row>
    <row r="634" spans="32:46" ht="15.75" customHeight="1" x14ac:dyDescent="0.25"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Q634" s="83"/>
      <c r="AR634" s="83"/>
      <c r="AS634" s="83"/>
      <c r="AT634" s="53"/>
    </row>
    <row r="635" spans="32:46" ht="15.75" customHeight="1" x14ac:dyDescent="0.25"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Q635" s="83"/>
      <c r="AR635" s="83"/>
      <c r="AS635" s="83"/>
      <c r="AT635" s="53"/>
    </row>
    <row r="636" spans="32:46" ht="15.75" customHeight="1" x14ac:dyDescent="0.25"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Q636" s="83"/>
      <c r="AR636" s="83"/>
      <c r="AS636" s="83"/>
      <c r="AT636" s="53"/>
    </row>
    <row r="637" spans="32:46" ht="15.75" customHeight="1" x14ac:dyDescent="0.25"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Q637" s="83"/>
      <c r="AR637" s="83"/>
      <c r="AS637" s="83"/>
      <c r="AT637" s="53"/>
    </row>
    <row r="638" spans="32:46" ht="15.75" customHeight="1" x14ac:dyDescent="0.25"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Q638" s="83"/>
      <c r="AR638" s="83"/>
      <c r="AS638" s="83"/>
      <c r="AT638" s="53"/>
    </row>
    <row r="639" spans="32:46" ht="15.75" customHeight="1" x14ac:dyDescent="0.25"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Q639" s="83"/>
      <c r="AR639" s="83"/>
      <c r="AS639" s="83"/>
      <c r="AT639" s="53"/>
    </row>
    <row r="640" spans="32:46" ht="15.75" customHeight="1" x14ac:dyDescent="0.25"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Q640" s="83"/>
      <c r="AR640" s="83"/>
      <c r="AS640" s="83"/>
      <c r="AT640" s="53"/>
    </row>
    <row r="641" spans="32:46" ht="15.75" customHeight="1" x14ac:dyDescent="0.25"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Q641" s="83"/>
      <c r="AR641" s="83"/>
      <c r="AS641" s="83"/>
      <c r="AT641" s="53"/>
    </row>
    <row r="642" spans="32:46" ht="15.75" customHeight="1" x14ac:dyDescent="0.25"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Q642" s="83"/>
      <c r="AR642" s="83"/>
      <c r="AS642" s="83"/>
      <c r="AT642" s="53"/>
    </row>
    <row r="643" spans="32:46" ht="15.75" customHeight="1" x14ac:dyDescent="0.25"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Q643" s="83"/>
      <c r="AR643" s="83"/>
      <c r="AS643" s="83"/>
      <c r="AT643" s="53"/>
    </row>
    <row r="644" spans="32:46" ht="15.75" customHeight="1" x14ac:dyDescent="0.25"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Q644" s="83"/>
      <c r="AR644" s="83"/>
      <c r="AS644" s="83"/>
      <c r="AT644" s="53"/>
    </row>
    <row r="645" spans="32:46" ht="15.75" customHeight="1" x14ac:dyDescent="0.25"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Q645" s="83"/>
      <c r="AR645" s="83"/>
      <c r="AS645" s="83"/>
      <c r="AT645" s="53"/>
    </row>
    <row r="646" spans="32:46" ht="15.75" customHeight="1" x14ac:dyDescent="0.25"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Q646" s="83"/>
      <c r="AR646" s="83"/>
      <c r="AS646" s="83"/>
      <c r="AT646" s="53"/>
    </row>
    <row r="647" spans="32:46" ht="15.75" customHeight="1" x14ac:dyDescent="0.25"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Q647" s="83"/>
      <c r="AR647" s="83"/>
      <c r="AS647" s="83"/>
      <c r="AT647" s="53"/>
    </row>
    <row r="648" spans="32:46" ht="15.75" customHeight="1" x14ac:dyDescent="0.25"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Q648" s="83"/>
      <c r="AR648" s="83"/>
      <c r="AS648" s="83"/>
      <c r="AT648" s="53"/>
    </row>
    <row r="649" spans="32:46" ht="15.75" customHeight="1" x14ac:dyDescent="0.25"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Q649" s="83"/>
      <c r="AR649" s="83"/>
      <c r="AS649" s="83"/>
      <c r="AT649" s="53"/>
    </row>
    <row r="650" spans="32:46" ht="15.75" customHeight="1" x14ac:dyDescent="0.25"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Q650" s="83"/>
      <c r="AR650" s="83"/>
      <c r="AS650" s="83"/>
      <c r="AT650" s="53"/>
    </row>
    <row r="651" spans="32:46" ht="15.75" customHeight="1" x14ac:dyDescent="0.25"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Q651" s="83"/>
      <c r="AR651" s="83"/>
      <c r="AS651" s="83"/>
      <c r="AT651" s="53"/>
    </row>
    <row r="652" spans="32:46" ht="15.75" customHeight="1" x14ac:dyDescent="0.25"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Q652" s="83"/>
      <c r="AR652" s="83"/>
      <c r="AS652" s="83"/>
      <c r="AT652" s="53"/>
    </row>
    <row r="653" spans="32:46" ht="15.75" customHeight="1" x14ac:dyDescent="0.25"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Q653" s="83"/>
      <c r="AR653" s="83"/>
      <c r="AS653" s="83"/>
      <c r="AT653" s="53"/>
    </row>
    <row r="654" spans="32:46" ht="15.75" customHeight="1" x14ac:dyDescent="0.25"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Q654" s="83"/>
      <c r="AR654" s="83"/>
      <c r="AS654" s="83"/>
      <c r="AT654" s="53"/>
    </row>
    <row r="655" spans="32:46" ht="15.75" customHeight="1" x14ac:dyDescent="0.25"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Q655" s="83"/>
      <c r="AR655" s="83"/>
      <c r="AS655" s="83"/>
      <c r="AT655" s="53"/>
    </row>
    <row r="656" spans="32:46" ht="15.75" customHeight="1" x14ac:dyDescent="0.25"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Q656" s="83"/>
      <c r="AR656" s="83"/>
      <c r="AS656" s="83"/>
      <c r="AT656" s="53"/>
    </row>
    <row r="657" spans="32:46" ht="15.75" customHeight="1" x14ac:dyDescent="0.25"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Q657" s="83"/>
      <c r="AR657" s="83"/>
      <c r="AS657" s="83"/>
      <c r="AT657" s="53"/>
    </row>
    <row r="658" spans="32:46" ht="15.75" customHeight="1" x14ac:dyDescent="0.25"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Q658" s="83"/>
      <c r="AR658" s="83"/>
      <c r="AS658" s="83"/>
      <c r="AT658" s="53"/>
    </row>
    <row r="659" spans="32:46" ht="15.75" customHeight="1" x14ac:dyDescent="0.25"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Q659" s="83"/>
      <c r="AR659" s="83"/>
      <c r="AS659" s="83"/>
      <c r="AT659" s="53"/>
    </row>
    <row r="660" spans="32:46" ht="15.75" customHeight="1" x14ac:dyDescent="0.25"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Q660" s="83"/>
      <c r="AR660" s="83"/>
      <c r="AS660" s="83"/>
      <c r="AT660" s="53"/>
    </row>
    <row r="661" spans="32:46" ht="15.75" customHeight="1" x14ac:dyDescent="0.25"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Q661" s="83"/>
      <c r="AR661" s="83"/>
      <c r="AS661" s="83"/>
      <c r="AT661" s="53"/>
    </row>
    <row r="662" spans="32:46" ht="15.75" customHeight="1" x14ac:dyDescent="0.25"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Q662" s="83"/>
      <c r="AR662" s="83"/>
      <c r="AS662" s="83"/>
      <c r="AT662" s="53"/>
    </row>
    <row r="663" spans="32:46" ht="15.75" customHeight="1" x14ac:dyDescent="0.25"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Q663" s="83"/>
      <c r="AR663" s="83"/>
      <c r="AS663" s="83"/>
      <c r="AT663" s="53"/>
    </row>
    <row r="664" spans="32:46" ht="15.75" customHeight="1" x14ac:dyDescent="0.25"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Q664" s="83"/>
      <c r="AR664" s="83"/>
      <c r="AS664" s="83"/>
      <c r="AT664" s="53"/>
    </row>
    <row r="665" spans="32:46" ht="15.75" customHeight="1" x14ac:dyDescent="0.25"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Q665" s="83"/>
      <c r="AR665" s="83"/>
      <c r="AS665" s="83"/>
      <c r="AT665" s="53"/>
    </row>
    <row r="666" spans="32:46" ht="15.75" customHeight="1" x14ac:dyDescent="0.25"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Q666" s="83"/>
      <c r="AR666" s="83"/>
      <c r="AS666" s="83"/>
      <c r="AT666" s="53"/>
    </row>
    <row r="667" spans="32:46" ht="15.75" customHeight="1" x14ac:dyDescent="0.25"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Q667" s="83"/>
      <c r="AR667" s="83"/>
      <c r="AS667" s="83"/>
      <c r="AT667" s="53"/>
    </row>
    <row r="668" spans="32:46" ht="15.75" customHeight="1" x14ac:dyDescent="0.25"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Q668" s="83"/>
      <c r="AR668" s="83"/>
      <c r="AS668" s="83"/>
      <c r="AT668" s="53"/>
    </row>
    <row r="669" spans="32:46" ht="15.75" customHeight="1" x14ac:dyDescent="0.25"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Q669" s="83"/>
      <c r="AR669" s="83"/>
      <c r="AS669" s="83"/>
      <c r="AT669" s="53"/>
    </row>
    <row r="670" spans="32:46" ht="15.75" customHeight="1" x14ac:dyDescent="0.25"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Q670" s="83"/>
      <c r="AR670" s="83"/>
      <c r="AS670" s="83"/>
      <c r="AT670" s="53"/>
    </row>
    <row r="671" spans="32:46" ht="15.75" customHeight="1" x14ac:dyDescent="0.25"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Q671" s="83"/>
      <c r="AR671" s="83"/>
      <c r="AS671" s="83"/>
      <c r="AT671" s="53"/>
    </row>
  </sheetData>
  <autoFilter ref="A2:BG67" xr:uid="{00000000-0001-0000-0000-000000000000}"/>
  <phoneticPr fontId="29" type="noConversion"/>
  <conditionalFormatting sqref="B1:B1048576">
    <cfRule type="duplicateValues" dxfId="75" priority="1"/>
  </conditionalFormatting>
  <conditionalFormatting sqref="B64:B65">
    <cfRule type="expression" dxfId="74" priority="81" stopIfTrue="1">
      <formula>AND(COUNTIF($C$56:$C$63, B64)+COUNTIF(#REF!, B64)&gt;1,NOT(ISBLANK(B64)))</formula>
    </cfRule>
  </conditionalFormatting>
  <conditionalFormatting sqref="C1:C1048576">
    <cfRule type="duplicateValues" dxfId="73" priority="2"/>
  </conditionalFormatting>
  <conditionalFormatting sqref="C3:C33">
    <cfRule type="duplicateValues" dxfId="72" priority="93"/>
  </conditionalFormatting>
  <conditionalFormatting sqref="C34:C36">
    <cfRule type="duplicateValues" dxfId="71" priority="25"/>
  </conditionalFormatting>
  <conditionalFormatting sqref="C39">
    <cfRule type="duplicateValues" dxfId="70" priority="21"/>
  </conditionalFormatting>
  <conditionalFormatting sqref="G17">
    <cfRule type="duplicateValues" dxfId="69" priority="17"/>
  </conditionalFormatting>
  <conditionalFormatting sqref="G24">
    <cfRule type="duplicateValues" dxfId="68" priority="16"/>
  </conditionalFormatting>
  <hyperlinks>
    <hyperlink ref="AA32" r:id="rId1" xr:uid="{00000000-0004-0000-0000-000000000000}"/>
    <hyperlink ref="AA6" r:id="rId2" xr:uid="{00000000-0004-0000-0000-000001000000}"/>
    <hyperlink ref="AA41" r:id="rId3" xr:uid="{00000000-0004-0000-0000-000002000000}"/>
    <hyperlink ref="AA45" r:id="rId4" xr:uid="{00000000-0004-0000-0000-000003000000}"/>
    <hyperlink ref="AA20" r:id="rId5" xr:uid="{00000000-0004-0000-0000-000006000000}"/>
    <hyperlink ref="AA8" r:id="rId6" xr:uid="{00000000-0004-0000-0000-000007000000}"/>
    <hyperlink ref="AA54" r:id="rId7" xr:uid="{F5069988-AC91-4CE9-98BA-3F83C0941F3B}"/>
    <hyperlink ref="AA53" r:id="rId8" xr:uid="{11D98F4F-5C1B-4ED0-9EEE-649421448F6F}"/>
    <hyperlink ref="AA52" r:id="rId9" xr:uid="{B78FCD3A-583F-43AF-804B-6C67AEBF37C5}"/>
    <hyperlink ref="AA42" r:id="rId10" xr:uid="{6C9483A0-3A47-41FA-A3A4-E7A39E52C796}"/>
    <hyperlink ref="AA55" r:id="rId11" xr:uid="{B88CC884-AD81-480A-B6CA-23D5C708D26B}"/>
    <hyperlink ref="AA57" r:id="rId12" xr:uid="{54B30082-CDDE-45DD-902F-BA7B11253D05}"/>
    <hyperlink ref="AA62" r:id="rId13" xr:uid="{15B2BA23-0820-4DA7-A28D-19D067F89CB4}"/>
  </hyperlinks>
  <pageMargins left="0.2" right="0" top="0.2" bottom="0" header="0" footer="0"/>
  <pageSetup paperSize="9" orientation="portrait" r:id="rId14"/>
  <colBreaks count="1" manualBreakCount="1">
    <brk id="9" max="679" man="1"/>
  </colBreaks>
  <legacy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outlinePr summaryBelow="0" summaryRight="0"/>
  </sheetPr>
  <dimension ref="A1:BG818"/>
  <sheetViews>
    <sheetView workbookViewId="0">
      <pane xSplit="3" ySplit="4" topLeftCell="H87" activePane="bottomRight" state="frozen"/>
      <selection pane="topRight" activeCell="D1" sqref="D1"/>
      <selection pane="bottomLeft" activeCell="A3" sqref="A3"/>
      <selection pane="bottomRight" activeCell="A99" sqref="A99:XFD99"/>
    </sheetView>
  </sheetViews>
  <sheetFormatPr defaultColWidth="14.44140625" defaultRowHeight="15.75" customHeight="1" x14ac:dyDescent="0.25"/>
  <cols>
    <col min="1" max="1" width="3.44140625" style="53" bestFit="1" customWidth="1"/>
    <col min="2" max="2" width="8.6640625" style="53" customWidth="1"/>
    <col min="3" max="3" width="21" style="53" customWidth="1"/>
    <col min="4" max="4" width="8.6640625" style="53" customWidth="1"/>
    <col min="5" max="5" width="20.44140625" style="72" customWidth="1"/>
    <col min="6" max="6" width="12" style="72" customWidth="1"/>
    <col min="7" max="7" width="21.5546875" style="346" customWidth="1"/>
    <col min="8" max="8" width="21.5546875" style="72" customWidth="1"/>
    <col min="9" max="9" width="21.5546875" style="79" customWidth="1"/>
    <col min="10" max="10" width="59.88671875" style="53" customWidth="1"/>
    <col min="11" max="11" width="52.88671875" style="53" customWidth="1"/>
    <col min="12" max="14" width="21.5546875" style="53" customWidth="1"/>
    <col min="15" max="15" width="21.5546875" style="77" customWidth="1"/>
    <col min="16" max="16" width="9.44140625" style="77" customWidth="1"/>
    <col min="17" max="18" width="21.5546875" style="53" customWidth="1"/>
    <col min="19" max="20" width="21.5546875" style="77" customWidth="1"/>
    <col min="21" max="21" width="23.109375" style="53" bestFit="1" customWidth="1"/>
    <col min="22" max="22" width="11.6640625" style="53" customWidth="1"/>
    <col min="23" max="23" width="23.33203125" style="53" bestFit="1" customWidth="1"/>
    <col min="24" max="25" width="21.5546875" style="53" customWidth="1"/>
    <col min="26" max="26" width="24.5546875" style="53" customWidth="1"/>
    <col min="27" max="27" width="31.88671875" style="81" bestFit="1" customWidth="1"/>
    <col min="28" max="28" width="21.5546875" style="72" customWidth="1"/>
    <col min="29" max="31" width="15.44140625" style="72" customWidth="1"/>
    <col min="32" max="32" width="14.44140625" style="53" customWidth="1"/>
    <col min="33" max="34" width="16" style="53" customWidth="1"/>
    <col min="35" max="41" width="18.5546875" style="29" customWidth="1"/>
    <col min="42" max="42" width="14.6640625" style="77" customWidth="1"/>
    <col min="43" max="43" width="14.44140625" style="53"/>
    <col min="44" max="44" width="0" style="53" hidden="1" customWidth="1"/>
    <col min="45" max="45" width="47.109375" style="53" hidden="1" customWidth="1"/>
    <col min="46" max="46" width="15.33203125" style="53" hidden="1" customWidth="1"/>
    <col min="47" max="47" width="18.33203125" style="53" hidden="1" customWidth="1"/>
    <col min="48" max="48" width="18" style="53" hidden="1" customWidth="1"/>
    <col min="49" max="57" width="17.5546875" style="53" hidden="1" customWidth="1"/>
    <col min="58" max="58" width="14.44140625" style="72"/>
    <col min="59" max="59" width="65.33203125" style="53" customWidth="1"/>
    <col min="60" max="16384" width="14.44140625" style="53"/>
  </cols>
  <sheetData>
    <row r="1" spans="1:59" ht="15.75" customHeight="1" x14ac:dyDescent="0.25">
      <c r="AI1" s="72"/>
      <c r="AJ1" s="72"/>
      <c r="AK1" s="72"/>
      <c r="AL1" s="72"/>
      <c r="AM1" s="72"/>
      <c r="AN1" s="72"/>
      <c r="AO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</row>
    <row r="2" spans="1:59" ht="15.75" customHeight="1" x14ac:dyDescent="0.25">
      <c r="A2" s="71">
        <v>1</v>
      </c>
      <c r="B2" s="71">
        <f>A2+1</f>
        <v>2</v>
      </c>
      <c r="C2" s="71">
        <f t="shared" ref="C2:BG2" si="0">B2+1</f>
        <v>3</v>
      </c>
      <c r="D2" s="71">
        <f t="shared" si="0"/>
        <v>4</v>
      </c>
      <c r="E2" s="322">
        <f t="shared" si="0"/>
        <v>5</v>
      </c>
      <c r="F2" s="71">
        <f t="shared" si="0"/>
        <v>6</v>
      </c>
      <c r="G2" s="347">
        <f t="shared" si="0"/>
        <v>7</v>
      </c>
      <c r="H2" s="71">
        <f t="shared" si="0"/>
        <v>8</v>
      </c>
      <c r="I2" s="322">
        <f t="shared" si="0"/>
        <v>9</v>
      </c>
      <c r="J2" s="71">
        <f t="shared" si="0"/>
        <v>10</v>
      </c>
      <c r="K2" s="71">
        <f t="shared" si="0"/>
        <v>11</v>
      </c>
      <c r="L2" s="71">
        <f t="shared" si="0"/>
        <v>12</v>
      </c>
      <c r="M2" s="71">
        <f t="shared" si="0"/>
        <v>13</v>
      </c>
      <c r="N2" s="71">
        <f t="shared" si="0"/>
        <v>14</v>
      </c>
      <c r="O2" s="71">
        <f t="shared" si="0"/>
        <v>15</v>
      </c>
      <c r="P2" s="71">
        <f t="shared" si="0"/>
        <v>16</v>
      </c>
      <c r="Q2" s="71">
        <f t="shared" si="0"/>
        <v>17</v>
      </c>
      <c r="R2" s="71">
        <f t="shared" si="0"/>
        <v>18</v>
      </c>
      <c r="S2" s="71">
        <f t="shared" si="0"/>
        <v>19</v>
      </c>
      <c r="T2" s="71">
        <f t="shared" si="0"/>
        <v>20</v>
      </c>
      <c r="U2" s="71">
        <f t="shared" si="0"/>
        <v>21</v>
      </c>
      <c r="V2" s="71">
        <f t="shared" si="0"/>
        <v>22</v>
      </c>
      <c r="W2" s="71">
        <f t="shared" si="0"/>
        <v>23</v>
      </c>
      <c r="X2" s="71">
        <f t="shared" si="0"/>
        <v>24</v>
      </c>
      <c r="Y2" s="71">
        <f t="shared" si="0"/>
        <v>25</v>
      </c>
      <c r="Z2" s="71">
        <f t="shared" si="0"/>
        <v>26</v>
      </c>
      <c r="AA2" s="71">
        <f t="shared" si="0"/>
        <v>27</v>
      </c>
      <c r="AB2" s="71">
        <f t="shared" si="0"/>
        <v>28</v>
      </c>
      <c r="AC2" s="71">
        <f t="shared" si="0"/>
        <v>29</v>
      </c>
      <c r="AD2" s="71">
        <f t="shared" si="0"/>
        <v>30</v>
      </c>
      <c r="AE2" s="71">
        <f t="shared" si="0"/>
        <v>31</v>
      </c>
      <c r="AF2" s="71">
        <f t="shared" si="0"/>
        <v>32</v>
      </c>
      <c r="AG2" s="71">
        <f t="shared" si="0"/>
        <v>33</v>
      </c>
      <c r="AH2" s="71">
        <f t="shared" si="0"/>
        <v>34</v>
      </c>
      <c r="AI2" s="71">
        <f t="shared" si="0"/>
        <v>35</v>
      </c>
      <c r="AJ2" s="71">
        <f t="shared" si="0"/>
        <v>36</v>
      </c>
      <c r="AK2" s="71">
        <f t="shared" si="0"/>
        <v>37</v>
      </c>
      <c r="AL2" s="71">
        <f t="shared" si="0"/>
        <v>38</v>
      </c>
      <c r="AM2" s="71">
        <f t="shared" si="0"/>
        <v>39</v>
      </c>
      <c r="AN2" s="71">
        <f t="shared" si="0"/>
        <v>40</v>
      </c>
      <c r="AO2" s="71">
        <f t="shared" si="0"/>
        <v>41</v>
      </c>
      <c r="AP2" s="71">
        <f t="shared" si="0"/>
        <v>42</v>
      </c>
      <c r="AQ2" s="71">
        <f t="shared" si="0"/>
        <v>43</v>
      </c>
      <c r="AR2" s="71">
        <f t="shared" si="0"/>
        <v>44</v>
      </c>
      <c r="AS2" s="71">
        <f t="shared" si="0"/>
        <v>45</v>
      </c>
      <c r="AT2" s="71">
        <f t="shared" si="0"/>
        <v>46</v>
      </c>
      <c r="AU2" s="71">
        <f t="shared" si="0"/>
        <v>47</v>
      </c>
      <c r="AV2" s="71">
        <f t="shared" si="0"/>
        <v>48</v>
      </c>
      <c r="AW2" s="71">
        <f t="shared" si="0"/>
        <v>49</v>
      </c>
      <c r="AX2" s="71">
        <f t="shared" si="0"/>
        <v>50</v>
      </c>
      <c r="AY2" s="71">
        <f t="shared" si="0"/>
        <v>51</v>
      </c>
      <c r="AZ2" s="71">
        <f t="shared" si="0"/>
        <v>52</v>
      </c>
      <c r="BA2" s="71">
        <f t="shared" si="0"/>
        <v>53</v>
      </c>
      <c r="BB2" s="71">
        <f t="shared" si="0"/>
        <v>54</v>
      </c>
      <c r="BC2" s="71">
        <f t="shared" si="0"/>
        <v>55</v>
      </c>
      <c r="BD2" s="71">
        <f t="shared" si="0"/>
        <v>56</v>
      </c>
      <c r="BE2" s="71">
        <f t="shared" si="0"/>
        <v>57</v>
      </c>
      <c r="BF2" s="322">
        <f t="shared" si="0"/>
        <v>58</v>
      </c>
      <c r="BG2" s="71">
        <f t="shared" si="0"/>
        <v>59</v>
      </c>
    </row>
    <row r="3" spans="1:59" s="69" customFormat="1" ht="40.200000000000003" customHeight="1" x14ac:dyDescent="0.25">
      <c r="A3" s="385" t="s">
        <v>0</v>
      </c>
      <c r="B3" s="375" t="s">
        <v>1652</v>
      </c>
      <c r="C3" s="381" t="s">
        <v>796</v>
      </c>
      <c r="D3" s="381" t="s">
        <v>2</v>
      </c>
      <c r="E3" s="381" t="s">
        <v>937</v>
      </c>
      <c r="F3" s="389" t="s">
        <v>4</v>
      </c>
      <c r="G3" s="379" t="s">
        <v>5</v>
      </c>
      <c r="H3" s="393" t="s">
        <v>6</v>
      </c>
      <c r="I3" s="382" t="s">
        <v>7</v>
      </c>
      <c r="J3" s="375" t="s">
        <v>1664</v>
      </c>
      <c r="K3" s="385" t="s">
        <v>938</v>
      </c>
      <c r="L3" s="385"/>
      <c r="M3" s="385"/>
      <c r="N3" s="385"/>
      <c r="O3" s="388" t="s">
        <v>12</v>
      </c>
      <c r="P3" s="391" t="s">
        <v>1665</v>
      </c>
      <c r="Q3" s="395" t="s">
        <v>13</v>
      </c>
      <c r="R3" s="379" t="s">
        <v>14</v>
      </c>
      <c r="S3" s="391" t="s">
        <v>15</v>
      </c>
      <c r="T3" s="382" t="s">
        <v>17</v>
      </c>
      <c r="U3" s="381" t="s">
        <v>18</v>
      </c>
      <c r="V3" s="379" t="s">
        <v>1675</v>
      </c>
      <c r="W3" s="381" t="s">
        <v>19</v>
      </c>
      <c r="X3" s="381" t="s">
        <v>20</v>
      </c>
      <c r="Y3" s="381" t="s">
        <v>21</v>
      </c>
      <c r="Z3" s="381" t="s">
        <v>22</v>
      </c>
      <c r="AA3" s="384" t="s">
        <v>23</v>
      </c>
      <c r="AB3" s="381" t="s">
        <v>939</v>
      </c>
      <c r="AC3" s="381" t="s">
        <v>940</v>
      </c>
      <c r="AD3" s="386" t="s">
        <v>941</v>
      </c>
      <c r="AE3" s="377" t="s">
        <v>27</v>
      </c>
      <c r="AF3" s="399" t="s">
        <v>28</v>
      </c>
      <c r="AG3" s="385" t="s">
        <v>29</v>
      </c>
      <c r="AH3" s="377" t="s">
        <v>1661</v>
      </c>
      <c r="AI3" s="375" t="s">
        <v>1653</v>
      </c>
      <c r="AJ3" s="375" t="s">
        <v>1654</v>
      </c>
      <c r="AK3" s="377" t="s">
        <v>1655</v>
      </c>
      <c r="AL3" s="377" t="s">
        <v>1656</v>
      </c>
      <c r="AM3" s="377" t="s">
        <v>1657</v>
      </c>
      <c r="AN3" s="377" t="s">
        <v>1658</v>
      </c>
      <c r="AO3" s="377" t="s">
        <v>1659</v>
      </c>
      <c r="AP3" s="382" t="s">
        <v>16</v>
      </c>
      <c r="AQ3" s="387" t="s">
        <v>30</v>
      </c>
      <c r="AR3" s="397" t="s">
        <v>1666</v>
      </c>
      <c r="AS3" s="385" t="s">
        <v>943</v>
      </c>
      <c r="AT3" s="375" t="s">
        <v>32</v>
      </c>
      <c r="AU3" s="377" t="s">
        <v>1692</v>
      </c>
      <c r="AV3" s="377" t="s">
        <v>1693</v>
      </c>
      <c r="AW3" s="375" t="s">
        <v>1694</v>
      </c>
      <c r="AX3" s="377" t="s">
        <v>1695</v>
      </c>
      <c r="AY3" s="375" t="s">
        <v>1672</v>
      </c>
      <c r="AZ3" s="377" t="s">
        <v>1696</v>
      </c>
      <c r="BA3" s="375" t="s">
        <v>1672</v>
      </c>
      <c r="BB3" s="377" t="s">
        <v>1697</v>
      </c>
      <c r="BC3" s="375" t="s">
        <v>1672</v>
      </c>
      <c r="BD3" s="377" t="s">
        <v>1698</v>
      </c>
      <c r="BE3" s="375" t="s">
        <v>1672</v>
      </c>
      <c r="BF3" s="385" t="s">
        <v>942</v>
      </c>
      <c r="BG3" s="375" t="s">
        <v>944</v>
      </c>
    </row>
    <row r="4" spans="1:59" s="69" customFormat="1" ht="13.2" hidden="1" x14ac:dyDescent="0.25">
      <c r="A4" s="385"/>
      <c r="B4" s="376"/>
      <c r="C4" s="381"/>
      <c r="D4" s="381"/>
      <c r="E4" s="381"/>
      <c r="F4" s="390"/>
      <c r="G4" s="380"/>
      <c r="H4" s="394"/>
      <c r="I4" s="383"/>
      <c r="J4" s="376"/>
      <c r="K4" s="114" t="s">
        <v>945</v>
      </c>
      <c r="L4" s="114" t="s">
        <v>946</v>
      </c>
      <c r="M4" s="114" t="s">
        <v>947</v>
      </c>
      <c r="N4" s="114" t="s">
        <v>948</v>
      </c>
      <c r="O4" s="388"/>
      <c r="P4" s="392"/>
      <c r="Q4" s="396"/>
      <c r="R4" s="380"/>
      <c r="S4" s="392"/>
      <c r="T4" s="383"/>
      <c r="U4" s="381"/>
      <c r="V4" s="380"/>
      <c r="W4" s="381"/>
      <c r="X4" s="381"/>
      <c r="Y4" s="381"/>
      <c r="Z4" s="381"/>
      <c r="AA4" s="384"/>
      <c r="AB4" s="381"/>
      <c r="AC4" s="381"/>
      <c r="AD4" s="386"/>
      <c r="AE4" s="378"/>
      <c r="AF4" s="399"/>
      <c r="AG4" s="385"/>
      <c r="AH4" s="378"/>
      <c r="AI4" s="376"/>
      <c r="AJ4" s="376"/>
      <c r="AK4" s="378"/>
      <c r="AL4" s="378"/>
      <c r="AM4" s="378"/>
      <c r="AN4" s="378"/>
      <c r="AO4" s="378"/>
      <c r="AP4" s="383"/>
      <c r="AQ4" s="387"/>
      <c r="AR4" s="398"/>
      <c r="AS4" s="385"/>
      <c r="AT4" s="376"/>
      <c r="AU4" s="378"/>
      <c r="AV4" s="378"/>
      <c r="AW4" s="376"/>
      <c r="AX4" s="378"/>
      <c r="AY4" s="376"/>
      <c r="AZ4" s="378"/>
      <c r="BA4" s="376"/>
      <c r="BB4" s="378"/>
      <c r="BC4" s="376"/>
      <c r="BD4" s="378"/>
      <c r="BE4" s="376"/>
      <c r="BF4" s="385"/>
      <c r="BG4" s="376"/>
    </row>
    <row r="5" spans="1:59" s="69" customFormat="1" ht="13.2" hidden="1" x14ac:dyDescent="0.25">
      <c r="A5" s="291">
        <f>SUBTOTAL(3,$C$5:C5)</f>
        <v>0</v>
      </c>
      <c r="B5" s="291"/>
      <c r="C5" s="308" t="s">
        <v>950</v>
      </c>
      <c r="D5" s="292" t="s">
        <v>34</v>
      </c>
      <c r="E5" s="293"/>
      <c r="F5" s="293"/>
      <c r="G5" s="294"/>
      <c r="H5" s="294"/>
      <c r="I5" s="294"/>
      <c r="J5" s="293"/>
      <c r="K5" s="293"/>
      <c r="L5" s="293"/>
      <c r="M5" s="293"/>
      <c r="N5" s="293"/>
      <c r="O5" s="294"/>
      <c r="P5" s="294"/>
      <c r="Q5" s="293"/>
      <c r="R5" s="293"/>
      <c r="S5" s="294"/>
      <c r="T5" s="294"/>
      <c r="U5" s="293"/>
      <c r="V5" s="293"/>
      <c r="W5" s="295"/>
      <c r="X5" s="293"/>
      <c r="Y5" s="293"/>
      <c r="Z5" s="293"/>
      <c r="AA5" s="296"/>
      <c r="AB5" s="293"/>
      <c r="AC5" s="293"/>
      <c r="AD5" s="293"/>
      <c r="AE5" s="293"/>
      <c r="AF5" s="291"/>
      <c r="AG5" s="291"/>
      <c r="AH5" s="291"/>
      <c r="AI5" s="193"/>
      <c r="AJ5" s="193"/>
      <c r="AK5" s="193"/>
      <c r="AL5" s="193"/>
      <c r="AM5" s="193"/>
      <c r="AN5" s="193"/>
      <c r="AO5" s="193"/>
      <c r="AP5" s="294"/>
      <c r="AQ5" s="291"/>
      <c r="AR5" s="291"/>
      <c r="AS5" s="291"/>
      <c r="AT5" s="291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97">
        <v>44214</v>
      </c>
      <c r="BG5" s="291"/>
    </row>
    <row r="6" spans="1:59" s="69" customFormat="1" ht="13.2" hidden="1" x14ac:dyDescent="0.25">
      <c r="A6" s="193">
        <f>SUBTOTAL(3,$C$5:C6)</f>
        <v>0</v>
      </c>
      <c r="B6" s="193"/>
      <c r="C6" s="199" t="s">
        <v>951</v>
      </c>
      <c r="D6" s="220" t="s">
        <v>34</v>
      </c>
      <c r="E6" s="298"/>
      <c r="F6" s="298"/>
      <c r="G6" s="299"/>
      <c r="H6" s="299"/>
      <c r="I6" s="299"/>
      <c r="J6" s="298"/>
      <c r="K6" s="298"/>
      <c r="L6" s="298"/>
      <c r="M6" s="298"/>
      <c r="N6" s="298"/>
      <c r="O6" s="299"/>
      <c r="P6" s="299"/>
      <c r="Q6" s="298"/>
      <c r="R6" s="298"/>
      <c r="S6" s="299"/>
      <c r="T6" s="299"/>
      <c r="U6" s="298"/>
      <c r="V6" s="298"/>
      <c r="W6" s="182"/>
      <c r="X6" s="298"/>
      <c r="Y6" s="298"/>
      <c r="Z6" s="298"/>
      <c r="AA6" s="300"/>
      <c r="AB6" s="298"/>
      <c r="AC6" s="298"/>
      <c r="AD6" s="298"/>
      <c r="AE6" s="298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299"/>
      <c r="AQ6" s="193"/>
      <c r="AR6" s="193"/>
      <c r="AS6" s="193"/>
      <c r="AT6" s="193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192">
        <v>44198</v>
      </c>
      <c r="BG6" s="193"/>
    </row>
    <row r="7" spans="1:59" s="69" customFormat="1" ht="13.2" hidden="1" x14ac:dyDescent="0.25">
      <c r="A7" s="193">
        <f>SUBTOTAL(3,$C$5:C7)</f>
        <v>0</v>
      </c>
      <c r="B7" s="193"/>
      <c r="C7" s="199" t="s">
        <v>952</v>
      </c>
      <c r="D7" s="220" t="s">
        <v>34</v>
      </c>
      <c r="E7" s="298"/>
      <c r="F7" s="298"/>
      <c r="G7" s="299"/>
      <c r="H7" s="299"/>
      <c r="I7" s="299"/>
      <c r="J7" s="298"/>
      <c r="K7" s="298"/>
      <c r="L7" s="298"/>
      <c r="M7" s="298"/>
      <c r="N7" s="298"/>
      <c r="O7" s="299"/>
      <c r="P7" s="299"/>
      <c r="Q7" s="298"/>
      <c r="R7" s="298"/>
      <c r="S7" s="299"/>
      <c r="T7" s="299"/>
      <c r="U7" s="298"/>
      <c r="V7" s="298"/>
      <c r="W7" s="205" t="s">
        <v>368</v>
      </c>
      <c r="X7" s="298"/>
      <c r="Y7" s="298"/>
      <c r="Z7" s="298"/>
      <c r="AA7" s="300"/>
      <c r="AB7" s="298"/>
      <c r="AC7" s="298"/>
      <c r="AD7" s="298"/>
      <c r="AE7" s="298"/>
      <c r="AF7" s="193"/>
      <c r="AG7" s="193"/>
      <c r="AH7" s="193"/>
      <c r="AI7" s="193"/>
      <c r="AJ7" s="193"/>
      <c r="AK7" s="193"/>
      <c r="AL7" s="193"/>
      <c r="AM7" s="193"/>
      <c r="AN7" s="193"/>
      <c r="AO7" s="193"/>
      <c r="AP7" s="299"/>
      <c r="AQ7" s="193"/>
      <c r="AR7" s="193"/>
      <c r="AS7" s="193"/>
      <c r="AT7" s="193"/>
      <c r="AU7" s="209"/>
      <c r="AV7" s="209"/>
      <c r="AW7" s="209"/>
      <c r="AX7" s="209"/>
      <c r="AY7" s="209"/>
      <c r="AZ7" s="209"/>
      <c r="BA7" s="209"/>
      <c r="BB7" s="209"/>
      <c r="BC7" s="209"/>
      <c r="BD7" s="209"/>
      <c r="BE7" s="209"/>
      <c r="BF7" s="192">
        <v>44234</v>
      </c>
      <c r="BG7" s="193"/>
    </row>
    <row r="8" spans="1:59" s="69" customFormat="1" ht="13.2" hidden="1" x14ac:dyDescent="0.25">
      <c r="A8" s="193">
        <f>SUBTOTAL(3,$C$5:C8)</f>
        <v>0</v>
      </c>
      <c r="B8" s="193"/>
      <c r="C8" s="199" t="s">
        <v>954</v>
      </c>
      <c r="D8" s="220" t="s">
        <v>34</v>
      </c>
      <c r="E8" s="298"/>
      <c r="F8" s="298"/>
      <c r="G8" s="299"/>
      <c r="H8" s="299"/>
      <c r="I8" s="299"/>
      <c r="J8" s="298"/>
      <c r="K8" s="298"/>
      <c r="L8" s="298"/>
      <c r="M8" s="298"/>
      <c r="N8" s="298"/>
      <c r="O8" s="299"/>
      <c r="P8" s="299"/>
      <c r="Q8" s="298"/>
      <c r="R8" s="298"/>
      <c r="S8" s="299"/>
      <c r="T8" s="299"/>
      <c r="U8" s="298"/>
      <c r="V8" s="298"/>
      <c r="W8" s="182"/>
      <c r="X8" s="298"/>
      <c r="Y8" s="298"/>
      <c r="Z8" s="298"/>
      <c r="AA8" s="300"/>
      <c r="AB8" s="298"/>
      <c r="AC8" s="298"/>
      <c r="AD8" s="298"/>
      <c r="AE8" s="298"/>
      <c r="AF8" s="193"/>
      <c r="AG8" s="193"/>
      <c r="AH8" s="193"/>
      <c r="AI8" s="193"/>
      <c r="AJ8" s="193"/>
      <c r="AK8" s="193"/>
      <c r="AL8" s="193"/>
      <c r="AM8" s="193"/>
      <c r="AN8" s="193"/>
      <c r="AO8" s="193"/>
      <c r="AP8" s="299"/>
      <c r="AQ8" s="193"/>
      <c r="AR8" s="193"/>
      <c r="AS8" s="193"/>
      <c r="AT8" s="193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192">
        <v>44234</v>
      </c>
      <c r="BG8" s="193"/>
    </row>
    <row r="9" spans="1:59" s="69" customFormat="1" ht="13.2" hidden="1" x14ac:dyDescent="0.25">
      <c r="A9" s="193">
        <f>SUBTOTAL(3,$C$5:C9)</f>
        <v>0</v>
      </c>
      <c r="B9" s="193"/>
      <c r="C9" s="199" t="s">
        <v>955</v>
      </c>
      <c r="D9" s="220" t="s">
        <v>78</v>
      </c>
      <c r="E9" s="298"/>
      <c r="F9" s="298"/>
      <c r="G9" s="299"/>
      <c r="H9" s="299"/>
      <c r="I9" s="299"/>
      <c r="J9" s="298"/>
      <c r="K9" s="298"/>
      <c r="L9" s="298"/>
      <c r="M9" s="298"/>
      <c r="N9" s="298"/>
      <c r="O9" s="299"/>
      <c r="P9" s="299"/>
      <c r="Q9" s="298"/>
      <c r="R9" s="298"/>
      <c r="S9" s="299"/>
      <c r="T9" s="299"/>
      <c r="U9" s="298"/>
      <c r="V9" s="298"/>
      <c r="W9" s="209" t="s">
        <v>1783</v>
      </c>
      <c r="X9" s="298"/>
      <c r="Y9" s="298"/>
      <c r="Z9" s="298"/>
      <c r="AA9" s="300"/>
      <c r="AB9" s="298"/>
      <c r="AC9" s="298"/>
      <c r="AD9" s="298"/>
      <c r="AE9" s="298"/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299"/>
      <c r="AQ9" s="193"/>
      <c r="AR9" s="193"/>
      <c r="AS9" s="193"/>
      <c r="AT9" s="193"/>
      <c r="AU9" s="209"/>
      <c r="AV9" s="209"/>
      <c r="AW9" s="209"/>
      <c r="AX9" s="209"/>
      <c r="AY9" s="209"/>
      <c r="AZ9" s="209"/>
      <c r="BA9" s="209"/>
      <c r="BB9" s="209"/>
      <c r="BC9" s="209"/>
      <c r="BD9" s="209"/>
      <c r="BE9" s="209"/>
      <c r="BF9" s="192">
        <v>44234</v>
      </c>
      <c r="BG9" s="193"/>
    </row>
    <row r="10" spans="1:59" s="69" customFormat="1" ht="13.2" hidden="1" x14ac:dyDescent="0.25">
      <c r="A10" s="193">
        <f>SUBTOTAL(3,$C$5:C10)</f>
        <v>0</v>
      </c>
      <c r="B10" s="193"/>
      <c r="C10" s="199" t="s">
        <v>956</v>
      </c>
      <c r="D10" s="220" t="s">
        <v>34</v>
      </c>
      <c r="E10" s="298"/>
      <c r="F10" s="298"/>
      <c r="G10" s="299"/>
      <c r="H10" s="299"/>
      <c r="I10" s="299"/>
      <c r="J10" s="298"/>
      <c r="K10" s="298"/>
      <c r="L10" s="298"/>
      <c r="M10" s="298"/>
      <c r="N10" s="298"/>
      <c r="O10" s="299"/>
      <c r="P10" s="299"/>
      <c r="Q10" s="298"/>
      <c r="R10" s="298"/>
      <c r="S10" s="299"/>
      <c r="T10" s="299"/>
      <c r="U10" s="298"/>
      <c r="V10" s="298"/>
      <c r="W10" s="182"/>
      <c r="X10" s="298"/>
      <c r="Y10" s="298"/>
      <c r="Z10" s="298"/>
      <c r="AA10" s="300"/>
      <c r="AB10" s="298"/>
      <c r="AC10" s="298"/>
      <c r="AD10" s="298"/>
      <c r="AE10" s="298"/>
      <c r="AF10" s="193"/>
      <c r="AG10" s="193"/>
      <c r="AH10" s="193"/>
      <c r="AI10" s="193"/>
      <c r="AJ10" s="193"/>
      <c r="AK10" s="193"/>
      <c r="AL10" s="193"/>
      <c r="AM10" s="193"/>
      <c r="AN10" s="193"/>
      <c r="AO10" s="193"/>
      <c r="AP10" s="299"/>
      <c r="AQ10" s="193"/>
      <c r="AR10" s="193"/>
      <c r="AS10" s="193"/>
      <c r="AT10" s="193"/>
      <c r="AU10" s="209"/>
      <c r="AV10" s="209"/>
      <c r="AW10" s="209"/>
      <c r="AX10" s="209"/>
      <c r="AY10" s="209"/>
      <c r="AZ10" s="209"/>
      <c r="BA10" s="209"/>
      <c r="BB10" s="209"/>
      <c r="BC10" s="209"/>
      <c r="BD10" s="209"/>
      <c r="BE10" s="209"/>
      <c r="BF10" s="192">
        <v>44231</v>
      </c>
      <c r="BG10" s="193"/>
    </row>
    <row r="11" spans="1:59" s="69" customFormat="1" ht="13.2" hidden="1" x14ac:dyDescent="0.25">
      <c r="A11" s="193">
        <f>SUBTOTAL(3,$C$5:C11)</f>
        <v>0</v>
      </c>
      <c r="B11" s="193"/>
      <c r="C11" s="199" t="s">
        <v>957</v>
      </c>
      <c r="D11" s="220" t="s">
        <v>34</v>
      </c>
      <c r="E11" s="298"/>
      <c r="F11" s="298"/>
      <c r="G11" s="299"/>
      <c r="H11" s="299"/>
      <c r="I11" s="299"/>
      <c r="J11" s="298"/>
      <c r="K11" s="298"/>
      <c r="L11" s="298"/>
      <c r="M11" s="298"/>
      <c r="N11" s="298"/>
      <c r="O11" s="299"/>
      <c r="P11" s="299"/>
      <c r="Q11" s="298"/>
      <c r="R11" s="298"/>
      <c r="S11" s="299"/>
      <c r="T11" s="299"/>
      <c r="U11" s="182" t="s">
        <v>958</v>
      </c>
      <c r="V11" s="182"/>
      <c r="W11" s="205" t="s">
        <v>179</v>
      </c>
      <c r="X11" s="298"/>
      <c r="Y11" s="298"/>
      <c r="Z11" s="298"/>
      <c r="AA11" s="300"/>
      <c r="AB11" s="298"/>
      <c r="AC11" s="298"/>
      <c r="AD11" s="298"/>
      <c r="AE11" s="298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299"/>
      <c r="AQ11" s="193"/>
      <c r="AR11" s="193"/>
      <c r="AS11" s="193"/>
      <c r="AT11" s="193"/>
      <c r="AU11" s="209"/>
      <c r="AV11" s="209"/>
      <c r="AW11" s="209"/>
      <c r="AX11" s="209"/>
      <c r="AY11" s="209"/>
      <c r="AZ11" s="209"/>
      <c r="BA11" s="209"/>
      <c r="BB11" s="209"/>
      <c r="BC11" s="209"/>
      <c r="BD11" s="209"/>
      <c r="BE11" s="209"/>
      <c r="BF11" s="192">
        <v>44234</v>
      </c>
      <c r="BG11" s="193"/>
    </row>
    <row r="12" spans="1:59" s="69" customFormat="1" ht="13.2" hidden="1" x14ac:dyDescent="0.25">
      <c r="A12" s="193">
        <f>SUBTOTAL(3,$C$5:C12)</f>
        <v>0</v>
      </c>
      <c r="B12" s="193"/>
      <c r="C12" s="199" t="s">
        <v>552</v>
      </c>
      <c r="D12" s="220" t="s">
        <v>34</v>
      </c>
      <c r="E12" s="298"/>
      <c r="F12" s="298"/>
      <c r="G12" s="299"/>
      <c r="H12" s="299"/>
      <c r="I12" s="299"/>
      <c r="J12" s="298"/>
      <c r="K12" s="298"/>
      <c r="L12" s="298"/>
      <c r="M12" s="298"/>
      <c r="N12" s="298"/>
      <c r="O12" s="299"/>
      <c r="P12" s="299"/>
      <c r="Q12" s="298"/>
      <c r="R12" s="298"/>
      <c r="S12" s="299"/>
      <c r="T12" s="299"/>
      <c r="U12" s="182"/>
      <c r="V12" s="182"/>
      <c r="W12" s="205" t="s">
        <v>179</v>
      </c>
      <c r="X12" s="298"/>
      <c r="Y12" s="298"/>
      <c r="Z12" s="298"/>
      <c r="AA12" s="300"/>
      <c r="AB12" s="298"/>
      <c r="AC12" s="298"/>
      <c r="AD12" s="298"/>
      <c r="AE12" s="298"/>
      <c r="AF12" s="193"/>
      <c r="AG12" s="193"/>
      <c r="AH12" s="193"/>
      <c r="AI12" s="193"/>
      <c r="AJ12" s="193"/>
      <c r="AK12" s="193"/>
      <c r="AL12" s="193"/>
      <c r="AM12" s="193"/>
      <c r="AN12" s="193"/>
      <c r="AO12" s="193"/>
      <c r="AP12" s="299"/>
      <c r="AQ12" s="193"/>
      <c r="AR12" s="193"/>
      <c r="AS12" s="193"/>
      <c r="AT12" s="193"/>
      <c r="AU12" s="209"/>
      <c r="AV12" s="209"/>
      <c r="AW12" s="209"/>
      <c r="AX12" s="209"/>
      <c r="AY12" s="209"/>
      <c r="AZ12" s="209"/>
      <c r="BA12" s="209"/>
      <c r="BB12" s="209"/>
      <c r="BC12" s="209"/>
      <c r="BD12" s="209"/>
      <c r="BE12" s="209"/>
      <c r="BF12" s="192">
        <v>44256</v>
      </c>
      <c r="BG12" s="193"/>
    </row>
    <row r="13" spans="1:59" s="69" customFormat="1" ht="13.2" hidden="1" x14ac:dyDescent="0.25">
      <c r="A13" s="193">
        <f>SUBTOTAL(3,$C$5:C13)</f>
        <v>0</v>
      </c>
      <c r="B13" s="193"/>
      <c r="C13" s="199" t="s">
        <v>211</v>
      </c>
      <c r="D13" s="220" t="s">
        <v>34</v>
      </c>
      <c r="E13" s="298"/>
      <c r="F13" s="298"/>
      <c r="G13" s="299"/>
      <c r="H13" s="299"/>
      <c r="I13" s="299"/>
      <c r="J13" s="298"/>
      <c r="K13" s="298"/>
      <c r="L13" s="298"/>
      <c r="M13" s="298"/>
      <c r="N13" s="298"/>
      <c r="O13" s="299"/>
      <c r="P13" s="299"/>
      <c r="Q13" s="298"/>
      <c r="R13" s="298"/>
      <c r="S13" s="299"/>
      <c r="T13" s="299"/>
      <c r="U13" s="182" t="s">
        <v>899</v>
      </c>
      <c r="V13" s="182"/>
      <c r="W13" s="205" t="s">
        <v>179</v>
      </c>
      <c r="X13" s="298"/>
      <c r="Y13" s="298"/>
      <c r="Z13" s="298"/>
      <c r="AA13" s="300"/>
      <c r="AB13" s="298"/>
      <c r="AC13" s="298"/>
      <c r="AD13" s="298"/>
      <c r="AE13" s="298"/>
      <c r="AF13" s="193"/>
      <c r="AG13" s="193"/>
      <c r="AH13" s="193"/>
      <c r="AI13" s="193"/>
      <c r="AJ13" s="193"/>
      <c r="AK13" s="193"/>
      <c r="AL13" s="193"/>
      <c r="AM13" s="193"/>
      <c r="AN13" s="193"/>
      <c r="AO13" s="193"/>
      <c r="AP13" s="299"/>
      <c r="AQ13" s="193"/>
      <c r="AR13" s="193"/>
      <c r="AS13" s="193"/>
      <c r="AT13" s="193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192">
        <v>44234</v>
      </c>
      <c r="BG13" s="193"/>
    </row>
    <row r="14" spans="1:59" s="69" customFormat="1" ht="13.2" hidden="1" x14ac:dyDescent="0.25">
      <c r="A14" s="193">
        <f>SUBTOTAL(3,$C$5:C14)</f>
        <v>0</v>
      </c>
      <c r="B14" s="193"/>
      <c r="C14" s="199" t="s">
        <v>960</v>
      </c>
      <c r="D14" s="220" t="s">
        <v>34</v>
      </c>
      <c r="E14" s="298"/>
      <c r="F14" s="298"/>
      <c r="G14" s="299"/>
      <c r="H14" s="299"/>
      <c r="I14" s="299"/>
      <c r="J14" s="298"/>
      <c r="K14" s="298"/>
      <c r="L14" s="298"/>
      <c r="M14" s="298"/>
      <c r="N14" s="298"/>
      <c r="O14" s="299"/>
      <c r="P14" s="299"/>
      <c r="Q14" s="298"/>
      <c r="R14" s="298"/>
      <c r="S14" s="299"/>
      <c r="T14" s="299"/>
      <c r="U14" s="182"/>
      <c r="V14" s="182"/>
      <c r="W14" s="182"/>
      <c r="X14" s="298"/>
      <c r="Y14" s="298"/>
      <c r="Z14" s="298"/>
      <c r="AA14" s="300"/>
      <c r="AB14" s="298"/>
      <c r="AC14" s="298"/>
      <c r="AD14" s="298"/>
      <c r="AE14" s="298"/>
      <c r="AF14" s="193"/>
      <c r="AG14" s="193"/>
      <c r="AH14" s="193"/>
      <c r="AI14" s="193"/>
      <c r="AJ14" s="193"/>
      <c r="AK14" s="193"/>
      <c r="AL14" s="193"/>
      <c r="AM14" s="193"/>
      <c r="AN14" s="193"/>
      <c r="AO14" s="193"/>
      <c r="AP14" s="299"/>
      <c r="AQ14" s="193"/>
      <c r="AR14" s="193"/>
      <c r="AS14" s="193"/>
      <c r="AT14" s="193"/>
      <c r="AU14" s="209"/>
      <c r="AV14" s="209"/>
      <c r="AW14" s="209"/>
      <c r="AX14" s="209"/>
      <c r="AY14" s="209"/>
      <c r="AZ14" s="209"/>
      <c r="BA14" s="209"/>
      <c r="BB14" s="209"/>
      <c r="BC14" s="209"/>
      <c r="BD14" s="209"/>
      <c r="BE14" s="209"/>
      <c r="BF14" s="192">
        <v>44256</v>
      </c>
      <c r="BG14" s="193"/>
    </row>
    <row r="15" spans="1:59" s="69" customFormat="1" ht="13.2" hidden="1" x14ac:dyDescent="0.25">
      <c r="A15" s="193">
        <f>SUBTOTAL(3,$C$5:C15)</f>
        <v>0</v>
      </c>
      <c r="B15" s="193"/>
      <c r="C15" s="199" t="s">
        <v>447</v>
      </c>
      <c r="D15" s="220" t="s">
        <v>34</v>
      </c>
      <c r="E15" s="298"/>
      <c r="F15" s="298"/>
      <c r="G15" s="299"/>
      <c r="H15" s="299"/>
      <c r="I15" s="299"/>
      <c r="J15" s="298"/>
      <c r="K15" s="298"/>
      <c r="L15" s="298"/>
      <c r="M15" s="298"/>
      <c r="N15" s="298"/>
      <c r="O15" s="299"/>
      <c r="P15" s="299"/>
      <c r="Q15" s="298"/>
      <c r="R15" s="298"/>
      <c r="S15" s="299"/>
      <c r="T15" s="299"/>
      <c r="U15" s="182" t="s">
        <v>961</v>
      </c>
      <c r="V15" s="182"/>
      <c r="W15" s="205" t="s">
        <v>179</v>
      </c>
      <c r="X15" s="298"/>
      <c r="Y15" s="298"/>
      <c r="Z15" s="298"/>
      <c r="AA15" s="300"/>
      <c r="AB15" s="298"/>
      <c r="AC15" s="298"/>
      <c r="AD15" s="298"/>
      <c r="AE15" s="298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299"/>
      <c r="AQ15" s="193"/>
      <c r="AR15" s="193"/>
      <c r="AS15" s="193"/>
      <c r="AT15" s="193"/>
      <c r="AU15" s="209"/>
      <c r="AV15" s="209"/>
      <c r="AW15" s="209"/>
      <c r="AX15" s="209"/>
      <c r="AY15" s="209"/>
      <c r="AZ15" s="209"/>
      <c r="BA15" s="209"/>
      <c r="BB15" s="209"/>
      <c r="BC15" s="209"/>
      <c r="BD15" s="209"/>
      <c r="BE15" s="209"/>
      <c r="BF15" s="192">
        <v>44256</v>
      </c>
      <c r="BG15" s="193"/>
    </row>
    <row r="16" spans="1:59" s="69" customFormat="1" ht="13.2" hidden="1" x14ac:dyDescent="0.25">
      <c r="A16" s="193">
        <f>SUBTOTAL(3,$C$5:C16)</f>
        <v>0</v>
      </c>
      <c r="B16" s="193"/>
      <c r="C16" s="199" t="s">
        <v>962</v>
      </c>
      <c r="D16" s="220" t="s">
        <v>34</v>
      </c>
      <c r="E16" s="298"/>
      <c r="F16" s="298"/>
      <c r="G16" s="299"/>
      <c r="H16" s="299"/>
      <c r="I16" s="299"/>
      <c r="J16" s="298"/>
      <c r="K16" s="298"/>
      <c r="L16" s="298"/>
      <c r="M16" s="298"/>
      <c r="N16" s="298"/>
      <c r="O16" s="299"/>
      <c r="P16" s="299"/>
      <c r="Q16" s="298"/>
      <c r="R16" s="298"/>
      <c r="S16" s="299"/>
      <c r="T16" s="299"/>
      <c r="U16" s="298"/>
      <c r="V16" s="298"/>
      <c r="W16" s="182"/>
      <c r="X16" s="298"/>
      <c r="Y16" s="298"/>
      <c r="Z16" s="298"/>
      <c r="AA16" s="300"/>
      <c r="AB16" s="298"/>
      <c r="AC16" s="298"/>
      <c r="AD16" s="298"/>
      <c r="AE16" s="298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299"/>
      <c r="AQ16" s="193"/>
      <c r="AR16" s="193"/>
      <c r="AS16" s="193"/>
      <c r="AT16" s="193"/>
      <c r="AU16" s="209"/>
      <c r="AV16" s="209"/>
      <c r="AW16" s="209"/>
      <c r="AX16" s="209"/>
      <c r="AY16" s="209"/>
      <c r="AZ16" s="209"/>
      <c r="BA16" s="209"/>
      <c r="BB16" s="209"/>
      <c r="BC16" s="209"/>
      <c r="BD16" s="209"/>
      <c r="BE16" s="209"/>
      <c r="BF16" s="192">
        <v>44300</v>
      </c>
      <c r="BG16" s="193"/>
    </row>
    <row r="17" spans="1:59" s="69" customFormat="1" ht="13.2" hidden="1" x14ac:dyDescent="0.25">
      <c r="A17" s="193">
        <f>SUBTOTAL(3,$C$5:C17)</f>
        <v>0</v>
      </c>
      <c r="B17" s="193"/>
      <c r="C17" s="199" t="s">
        <v>642</v>
      </c>
      <c r="D17" s="220" t="s">
        <v>34</v>
      </c>
      <c r="E17" s="298"/>
      <c r="F17" s="298"/>
      <c r="G17" s="299"/>
      <c r="H17" s="299"/>
      <c r="I17" s="299"/>
      <c r="J17" s="298"/>
      <c r="K17" s="298"/>
      <c r="L17" s="298"/>
      <c r="M17" s="298"/>
      <c r="N17" s="298"/>
      <c r="O17" s="299"/>
      <c r="P17" s="299"/>
      <c r="Q17" s="298"/>
      <c r="R17" s="298"/>
      <c r="S17" s="299"/>
      <c r="T17" s="299"/>
      <c r="U17" s="298"/>
      <c r="V17" s="298"/>
      <c r="W17" s="182"/>
      <c r="X17" s="298"/>
      <c r="Y17" s="298"/>
      <c r="Z17" s="298"/>
      <c r="AA17" s="300"/>
      <c r="AB17" s="298"/>
      <c r="AC17" s="298"/>
      <c r="AD17" s="298"/>
      <c r="AE17" s="298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299"/>
      <c r="AQ17" s="193"/>
      <c r="AR17" s="193"/>
      <c r="AS17" s="193"/>
      <c r="AT17" s="193"/>
      <c r="AU17" s="209"/>
      <c r="AV17" s="209"/>
      <c r="AW17" s="209"/>
      <c r="AX17" s="209"/>
      <c r="AY17" s="209"/>
      <c r="AZ17" s="209"/>
      <c r="BA17" s="209"/>
      <c r="BB17" s="209"/>
      <c r="BC17" s="209"/>
      <c r="BD17" s="209"/>
      <c r="BE17" s="209"/>
      <c r="BF17" s="192">
        <v>44348</v>
      </c>
      <c r="BG17" s="193"/>
    </row>
    <row r="18" spans="1:59" s="73" customFormat="1" ht="13.2" hidden="1" x14ac:dyDescent="0.25">
      <c r="A18" s="193">
        <f>SUBTOTAL(3,$C$5:C18)</f>
        <v>0</v>
      </c>
      <c r="B18" s="193"/>
      <c r="C18" s="199" t="s">
        <v>963</v>
      </c>
      <c r="D18" s="309" t="s">
        <v>34</v>
      </c>
      <c r="E18" s="206">
        <v>33251</v>
      </c>
      <c r="F18" s="206"/>
      <c r="G18" s="211">
        <v>381626370</v>
      </c>
      <c r="H18" s="309"/>
      <c r="I18" s="211"/>
      <c r="J18" s="199" t="s">
        <v>964</v>
      </c>
      <c r="K18" s="199" t="s">
        <v>965</v>
      </c>
      <c r="L18" s="199" t="s">
        <v>966</v>
      </c>
      <c r="M18" s="199" t="s">
        <v>967</v>
      </c>
      <c r="N18" s="199" t="s">
        <v>968</v>
      </c>
      <c r="O18" s="201" t="s">
        <v>969</v>
      </c>
      <c r="P18" s="201"/>
      <c r="Q18" s="202"/>
      <c r="R18" s="202" t="s">
        <v>282</v>
      </c>
      <c r="S18" s="227" t="s">
        <v>970</v>
      </c>
      <c r="T18" s="227"/>
      <c r="U18" s="199" t="s">
        <v>899</v>
      </c>
      <c r="V18" s="199"/>
      <c r="W18" s="205" t="s">
        <v>179</v>
      </c>
      <c r="X18" s="199" t="s">
        <v>972</v>
      </c>
      <c r="Y18" s="199" t="s">
        <v>74</v>
      </c>
      <c r="Z18" s="199"/>
      <c r="AA18" s="205" t="s">
        <v>973</v>
      </c>
      <c r="AB18" s="206">
        <v>43913</v>
      </c>
      <c r="AC18" s="206"/>
      <c r="AD18" s="206"/>
      <c r="AE18" s="206"/>
      <c r="AF18" s="209"/>
      <c r="AG18" s="209"/>
      <c r="AH18" s="209"/>
      <c r="AI18" s="193"/>
      <c r="AJ18" s="193"/>
      <c r="AK18" s="193"/>
      <c r="AL18" s="193"/>
      <c r="AM18" s="193"/>
      <c r="AN18" s="193"/>
      <c r="AO18" s="193"/>
      <c r="AP18" s="227">
        <v>9621258686</v>
      </c>
      <c r="AQ18" s="209"/>
      <c r="AR18" s="209"/>
      <c r="AS18" s="209"/>
      <c r="AT18" s="209"/>
      <c r="AU18" s="209"/>
      <c r="AV18" s="209"/>
      <c r="AW18" s="209"/>
      <c r="AX18" s="209"/>
      <c r="AY18" s="209"/>
      <c r="AZ18" s="209"/>
      <c r="BA18" s="209"/>
      <c r="BB18" s="209"/>
      <c r="BC18" s="209"/>
      <c r="BD18" s="209"/>
      <c r="BE18" s="209"/>
      <c r="BF18" s="192">
        <v>44470</v>
      </c>
      <c r="BG18" s="209"/>
    </row>
    <row r="19" spans="1:59" s="73" customFormat="1" ht="13.5" hidden="1" customHeight="1" x14ac:dyDescent="0.25">
      <c r="A19" s="193">
        <f>SUBTOTAL(3,$C$5:C19)</f>
        <v>0</v>
      </c>
      <c r="B19" s="193"/>
      <c r="C19" s="209" t="s">
        <v>974</v>
      </c>
      <c r="D19" s="193" t="s">
        <v>78</v>
      </c>
      <c r="E19" s="193"/>
      <c r="F19" s="193"/>
      <c r="G19" s="203"/>
      <c r="H19" s="193"/>
      <c r="I19" s="203"/>
      <c r="J19" s="209"/>
      <c r="K19" s="209"/>
      <c r="L19" s="209"/>
      <c r="M19" s="209"/>
      <c r="N19" s="209"/>
      <c r="O19" s="226"/>
      <c r="P19" s="226"/>
      <c r="Q19" s="209"/>
      <c r="R19" s="209"/>
      <c r="S19" s="226"/>
      <c r="T19" s="226"/>
      <c r="U19" s="199" t="s">
        <v>975</v>
      </c>
      <c r="V19" s="199"/>
      <c r="W19" s="205" t="s">
        <v>1784</v>
      </c>
      <c r="X19" s="209"/>
      <c r="Y19" s="209"/>
      <c r="Z19" s="209"/>
      <c r="AA19" s="196"/>
      <c r="AB19" s="193"/>
      <c r="AC19" s="193"/>
      <c r="AD19" s="193"/>
      <c r="AE19" s="193"/>
      <c r="AF19" s="209"/>
      <c r="AG19" s="209"/>
      <c r="AH19" s="209"/>
      <c r="AI19" s="193"/>
      <c r="AJ19" s="193"/>
      <c r="AK19" s="193"/>
      <c r="AL19" s="193"/>
      <c r="AM19" s="193"/>
      <c r="AN19" s="193"/>
      <c r="AO19" s="193"/>
      <c r="AP19" s="226"/>
      <c r="AQ19" s="209"/>
      <c r="AR19" s="209"/>
      <c r="AS19" s="209"/>
      <c r="AT19" s="209"/>
      <c r="AU19" s="209"/>
      <c r="AV19" s="209"/>
      <c r="AW19" s="209"/>
      <c r="AX19" s="209"/>
      <c r="AY19" s="209"/>
      <c r="AZ19" s="209"/>
      <c r="BA19" s="209"/>
      <c r="BB19" s="209"/>
      <c r="BC19" s="209"/>
      <c r="BD19" s="209"/>
      <c r="BE19" s="209"/>
      <c r="BF19" s="192">
        <v>44564</v>
      </c>
      <c r="BG19" s="209"/>
    </row>
    <row r="20" spans="1:59" s="73" customFormat="1" ht="14.25" hidden="1" customHeight="1" x14ac:dyDescent="0.25">
      <c r="A20" s="193">
        <f>SUBTOTAL(3,$C$5:C20)</f>
        <v>0</v>
      </c>
      <c r="B20" s="193"/>
      <c r="C20" s="209" t="s">
        <v>977</v>
      </c>
      <c r="D20" s="193" t="s">
        <v>34</v>
      </c>
      <c r="E20" s="193"/>
      <c r="F20" s="193"/>
      <c r="G20" s="203"/>
      <c r="H20" s="193"/>
      <c r="I20" s="193"/>
      <c r="J20" s="209"/>
      <c r="K20" s="209"/>
      <c r="L20" s="209"/>
      <c r="M20" s="209"/>
      <c r="N20" s="209"/>
      <c r="O20" s="209"/>
      <c r="P20" s="209"/>
      <c r="Q20" s="209"/>
      <c r="R20" s="209"/>
      <c r="S20" s="209"/>
      <c r="T20" s="209"/>
      <c r="U20" s="209" t="s">
        <v>978</v>
      </c>
      <c r="V20" s="209"/>
      <c r="W20" s="205" t="s">
        <v>179</v>
      </c>
      <c r="X20" s="209"/>
      <c r="Y20" s="209"/>
      <c r="Z20" s="209"/>
      <c r="AA20" s="196"/>
      <c r="AB20" s="193"/>
      <c r="AC20" s="193"/>
      <c r="AD20" s="193"/>
      <c r="AE20" s="193"/>
      <c r="AF20" s="209"/>
      <c r="AG20" s="209"/>
      <c r="AH20" s="209"/>
      <c r="AI20" s="193"/>
      <c r="AJ20" s="193"/>
      <c r="AK20" s="193"/>
      <c r="AL20" s="193"/>
      <c r="AM20" s="193"/>
      <c r="AN20" s="193"/>
      <c r="AO20" s="193"/>
      <c r="AP20" s="209"/>
      <c r="AQ20" s="209"/>
      <c r="AR20" s="209"/>
      <c r="AS20" s="209"/>
      <c r="AT20" s="209"/>
      <c r="AU20" s="209"/>
      <c r="AV20" s="209"/>
      <c r="AW20" s="209"/>
      <c r="AX20" s="209"/>
      <c r="AY20" s="209"/>
      <c r="AZ20" s="209"/>
      <c r="BA20" s="209"/>
      <c r="BB20" s="209"/>
      <c r="BC20" s="209"/>
      <c r="BD20" s="209"/>
      <c r="BE20" s="209"/>
      <c r="BF20" s="192">
        <v>44391</v>
      </c>
      <c r="BG20" s="209"/>
    </row>
    <row r="21" spans="1:59" s="73" customFormat="1" ht="13.2" hidden="1" x14ac:dyDescent="0.25">
      <c r="A21" s="193">
        <f>SUBTOTAL(3,$C$5:C21)</f>
        <v>0</v>
      </c>
      <c r="B21" s="193"/>
      <c r="C21" s="199" t="s">
        <v>979</v>
      </c>
      <c r="D21" s="309" t="s">
        <v>34</v>
      </c>
      <c r="E21" s="206">
        <v>33424</v>
      </c>
      <c r="F21" s="206"/>
      <c r="G21" s="211">
        <v>321550105</v>
      </c>
      <c r="H21" s="309"/>
      <c r="I21" s="211"/>
      <c r="J21" s="199" t="s">
        <v>980</v>
      </c>
      <c r="K21" s="199" t="s">
        <v>981</v>
      </c>
      <c r="L21" s="199" t="s">
        <v>982</v>
      </c>
      <c r="M21" s="199" t="s">
        <v>983</v>
      </c>
      <c r="N21" s="199" t="s">
        <v>41</v>
      </c>
      <c r="O21" s="201" t="s">
        <v>984</v>
      </c>
      <c r="P21" s="201"/>
      <c r="Q21" s="202" t="s">
        <v>985</v>
      </c>
      <c r="R21" s="202" t="s">
        <v>986</v>
      </c>
      <c r="S21" s="227" t="s">
        <v>987</v>
      </c>
      <c r="T21" s="227"/>
      <c r="U21" s="199" t="s">
        <v>975</v>
      </c>
      <c r="V21" s="199"/>
      <c r="W21" s="205" t="s">
        <v>1784</v>
      </c>
      <c r="X21" s="199" t="s">
        <v>988</v>
      </c>
      <c r="Y21" s="199" t="s">
        <v>140</v>
      </c>
      <c r="Z21" s="199"/>
      <c r="AA21" s="196"/>
      <c r="AB21" s="206">
        <v>44091</v>
      </c>
      <c r="AC21" s="206"/>
      <c r="AD21" s="206"/>
      <c r="AE21" s="206"/>
      <c r="AF21" s="209"/>
      <c r="AG21" s="209"/>
      <c r="AH21" s="209"/>
      <c r="AI21" s="193"/>
      <c r="AJ21" s="193"/>
      <c r="AK21" s="193"/>
      <c r="AL21" s="193"/>
      <c r="AM21" s="193"/>
      <c r="AN21" s="193"/>
      <c r="AO21" s="193"/>
      <c r="AP21" s="227">
        <v>8323017818</v>
      </c>
      <c r="AQ21" s="209"/>
      <c r="AR21" s="209"/>
      <c r="AS21" s="209"/>
      <c r="AT21" s="209"/>
      <c r="AU21" s="209"/>
      <c r="AV21" s="209"/>
      <c r="AW21" s="209"/>
      <c r="AX21" s="209"/>
      <c r="AY21" s="209"/>
      <c r="AZ21" s="209"/>
      <c r="BA21" s="209"/>
      <c r="BB21" s="209"/>
      <c r="BC21" s="209"/>
      <c r="BD21" s="209"/>
      <c r="BE21" s="209"/>
      <c r="BF21" s="192">
        <v>44470</v>
      </c>
      <c r="BG21" s="209"/>
    </row>
    <row r="22" spans="1:59" s="73" customFormat="1" ht="13.2" hidden="1" x14ac:dyDescent="0.25">
      <c r="A22" s="193">
        <f>SUBTOTAL(3,$C$5:C22)</f>
        <v>0</v>
      </c>
      <c r="B22" s="193"/>
      <c r="C22" s="199" t="s">
        <v>989</v>
      </c>
      <c r="D22" s="309" t="s">
        <v>34</v>
      </c>
      <c r="E22" s="206">
        <v>32030</v>
      </c>
      <c r="F22" s="206"/>
      <c r="G22" s="211">
        <v>363720493</v>
      </c>
      <c r="H22" s="192"/>
      <c r="I22" s="203"/>
      <c r="J22" s="199" t="s">
        <v>990</v>
      </c>
      <c r="K22" s="199" t="s">
        <v>465</v>
      </c>
      <c r="L22" s="199" t="s">
        <v>991</v>
      </c>
      <c r="M22" s="199" t="s">
        <v>992</v>
      </c>
      <c r="N22" s="199" t="s">
        <v>993</v>
      </c>
      <c r="O22" s="202" t="s">
        <v>994</v>
      </c>
      <c r="P22" s="202"/>
      <c r="Q22" s="209"/>
      <c r="R22" s="209"/>
      <c r="S22" s="226"/>
      <c r="T22" s="226"/>
      <c r="U22" s="199" t="s">
        <v>996</v>
      </c>
      <c r="V22" s="199"/>
      <c r="W22" s="205" t="s">
        <v>1784</v>
      </c>
      <c r="X22" s="199" t="s">
        <v>286</v>
      </c>
      <c r="Y22" s="202" t="s">
        <v>105</v>
      </c>
      <c r="Z22" s="202"/>
      <c r="AA22" s="196"/>
      <c r="AB22" s="193"/>
      <c r="AC22" s="193"/>
      <c r="AD22" s="193"/>
      <c r="AE22" s="193"/>
      <c r="AF22" s="209"/>
      <c r="AG22" s="209"/>
      <c r="AH22" s="209"/>
      <c r="AI22" s="193"/>
      <c r="AJ22" s="193"/>
      <c r="AK22" s="193"/>
      <c r="AL22" s="193"/>
      <c r="AM22" s="193"/>
      <c r="AN22" s="193"/>
      <c r="AO22" s="193"/>
      <c r="AP22" s="226" t="s">
        <v>995</v>
      </c>
      <c r="AQ22" s="209"/>
      <c r="AR22" s="209"/>
      <c r="AS22" s="209"/>
      <c r="AT22" s="209"/>
      <c r="AU22" s="209"/>
      <c r="AV22" s="209"/>
      <c r="AW22" s="209"/>
      <c r="AX22" s="209"/>
      <c r="AY22" s="209"/>
      <c r="AZ22" s="209"/>
      <c r="BA22" s="209"/>
      <c r="BB22" s="209"/>
      <c r="BC22" s="209"/>
      <c r="BD22" s="209"/>
      <c r="BE22" s="209"/>
      <c r="BF22" s="193" t="s">
        <v>997</v>
      </c>
      <c r="BG22" s="209"/>
    </row>
    <row r="23" spans="1:59" s="73" customFormat="1" ht="13.2" hidden="1" x14ac:dyDescent="0.25">
      <c r="A23" s="193">
        <f>SUBTOTAL(3,$C$5:C23)</f>
        <v>0</v>
      </c>
      <c r="B23" s="193"/>
      <c r="C23" s="199" t="s">
        <v>998</v>
      </c>
      <c r="D23" s="309" t="s">
        <v>34</v>
      </c>
      <c r="E23" s="206">
        <v>29452</v>
      </c>
      <c r="F23" s="206"/>
      <c r="G23" s="211">
        <v>212032070</v>
      </c>
      <c r="H23" s="206">
        <v>42949</v>
      </c>
      <c r="I23" s="211" t="s">
        <v>999</v>
      </c>
      <c r="J23" s="199" t="s">
        <v>1000</v>
      </c>
      <c r="K23" s="199" t="s">
        <v>39</v>
      </c>
      <c r="L23" s="199" t="s">
        <v>201</v>
      </c>
      <c r="M23" s="199" t="s">
        <v>1001</v>
      </c>
      <c r="N23" s="199" t="s">
        <v>41</v>
      </c>
      <c r="O23" s="201" t="s">
        <v>1002</v>
      </c>
      <c r="P23" s="201"/>
      <c r="Q23" s="202"/>
      <c r="R23" s="202" t="s">
        <v>220</v>
      </c>
      <c r="S23" s="201" t="s">
        <v>1003</v>
      </c>
      <c r="T23" s="201"/>
      <c r="U23" s="199" t="s">
        <v>1004</v>
      </c>
      <c r="V23" s="199"/>
      <c r="W23" s="205" t="s">
        <v>179</v>
      </c>
      <c r="X23" s="199" t="s">
        <v>899</v>
      </c>
      <c r="Y23" s="199" t="s">
        <v>1005</v>
      </c>
      <c r="Z23" s="199"/>
      <c r="AA23" s="196"/>
      <c r="AB23" s="206">
        <v>43711</v>
      </c>
      <c r="AC23" s="206"/>
      <c r="AD23" s="206"/>
      <c r="AE23" s="206"/>
      <c r="AF23" s="209"/>
      <c r="AG23" s="209"/>
      <c r="AH23" s="209"/>
      <c r="AI23" s="193"/>
      <c r="AJ23" s="193"/>
      <c r="AK23" s="193"/>
      <c r="AL23" s="193"/>
      <c r="AM23" s="193"/>
      <c r="AN23" s="193"/>
      <c r="AO23" s="193"/>
      <c r="AP23" s="227">
        <v>5110002975</v>
      </c>
      <c r="AQ23" s="209"/>
      <c r="AR23" s="209"/>
      <c r="AS23" s="209"/>
      <c r="AT23" s="209"/>
      <c r="AU23" s="209"/>
      <c r="AV23" s="209"/>
      <c r="AW23" s="209"/>
      <c r="AX23" s="209"/>
      <c r="AY23" s="209"/>
      <c r="AZ23" s="209"/>
      <c r="BA23" s="209"/>
      <c r="BB23" s="209"/>
      <c r="BC23" s="209"/>
      <c r="BD23" s="209"/>
      <c r="BE23" s="209"/>
      <c r="BF23" s="192">
        <v>44531</v>
      </c>
      <c r="BG23" s="209"/>
    </row>
    <row r="24" spans="1:59" s="73" customFormat="1" ht="13.2" hidden="1" x14ac:dyDescent="0.25">
      <c r="A24" s="193">
        <f>SUBTOTAL(3,$C$5:C24)</f>
        <v>0</v>
      </c>
      <c r="B24" s="193"/>
      <c r="C24" s="199" t="s">
        <v>894</v>
      </c>
      <c r="D24" s="309" t="s">
        <v>34</v>
      </c>
      <c r="E24" s="206">
        <v>32665</v>
      </c>
      <c r="F24" s="206"/>
      <c r="G24" s="207" t="s">
        <v>1006</v>
      </c>
      <c r="H24" s="303">
        <v>44303</v>
      </c>
      <c r="I24" s="207" t="s">
        <v>37</v>
      </c>
      <c r="J24" s="199" t="s">
        <v>1007</v>
      </c>
      <c r="K24" s="199" t="s">
        <v>1008</v>
      </c>
      <c r="L24" s="199" t="s">
        <v>1009</v>
      </c>
      <c r="M24" s="199" t="s">
        <v>1010</v>
      </c>
      <c r="N24" s="199" t="s">
        <v>429</v>
      </c>
      <c r="O24" s="201" t="s">
        <v>1011</v>
      </c>
      <c r="P24" s="201"/>
      <c r="Q24" s="202" t="s">
        <v>1012</v>
      </c>
      <c r="R24" s="202" t="s">
        <v>71</v>
      </c>
      <c r="S24" s="227" t="s">
        <v>1013</v>
      </c>
      <c r="T24" s="227"/>
      <c r="U24" s="199" t="s">
        <v>1014</v>
      </c>
      <c r="V24" s="199"/>
      <c r="W24" s="205" t="s">
        <v>179</v>
      </c>
      <c r="X24" s="199" t="s">
        <v>286</v>
      </c>
      <c r="Y24" s="199" t="s">
        <v>1014</v>
      </c>
      <c r="Z24" s="199"/>
      <c r="AA24" s="205" t="s">
        <v>1015</v>
      </c>
      <c r="AB24" s="206">
        <v>43907</v>
      </c>
      <c r="AC24" s="206"/>
      <c r="AD24" s="206"/>
      <c r="AE24" s="206"/>
      <c r="AF24" s="209"/>
      <c r="AG24" s="209"/>
      <c r="AH24" s="209"/>
      <c r="AI24" s="193"/>
      <c r="AJ24" s="193"/>
      <c r="AK24" s="193"/>
      <c r="AL24" s="193"/>
      <c r="AM24" s="193"/>
      <c r="AN24" s="193"/>
      <c r="AO24" s="193"/>
      <c r="AP24" s="227">
        <v>8621245422</v>
      </c>
      <c r="AQ24" s="209"/>
      <c r="AR24" s="209"/>
      <c r="AS24" s="209"/>
      <c r="AT24" s="209"/>
      <c r="AU24" s="209"/>
      <c r="AV24" s="209"/>
      <c r="AW24" s="209"/>
      <c r="AX24" s="209"/>
      <c r="AY24" s="209"/>
      <c r="AZ24" s="209"/>
      <c r="BA24" s="209"/>
      <c r="BB24" s="209"/>
      <c r="BC24" s="209"/>
      <c r="BD24" s="209"/>
      <c r="BE24" s="209"/>
      <c r="BF24" s="192">
        <v>44531</v>
      </c>
      <c r="BG24" s="209"/>
    </row>
    <row r="25" spans="1:59" s="73" customFormat="1" ht="15.75" hidden="1" customHeight="1" x14ac:dyDescent="0.25">
      <c r="A25" s="193">
        <f>SUBTOTAL(3,$C$5:C25)</f>
        <v>0</v>
      </c>
      <c r="B25" s="193"/>
      <c r="C25" s="199" t="s">
        <v>545</v>
      </c>
      <c r="D25" s="309" t="s">
        <v>34</v>
      </c>
      <c r="E25" s="192">
        <v>21186</v>
      </c>
      <c r="F25" s="192"/>
      <c r="G25" s="203" t="s">
        <v>546</v>
      </c>
      <c r="H25" s="192">
        <v>44312</v>
      </c>
      <c r="I25" s="203" t="s">
        <v>1016</v>
      </c>
      <c r="J25" s="199" t="s">
        <v>547</v>
      </c>
      <c r="K25" s="199" t="s">
        <v>548</v>
      </c>
      <c r="L25" s="209">
        <v>14</v>
      </c>
      <c r="M25" s="209">
        <v>3</v>
      </c>
      <c r="N25" s="199" t="s">
        <v>41</v>
      </c>
      <c r="O25" s="226" t="s">
        <v>1017</v>
      </c>
      <c r="P25" s="226"/>
      <c r="Q25" s="209"/>
      <c r="R25" s="199" t="s">
        <v>71</v>
      </c>
      <c r="S25" s="226" t="s">
        <v>550</v>
      </c>
      <c r="T25" s="226"/>
      <c r="U25" s="199" t="s">
        <v>382</v>
      </c>
      <c r="V25" s="199"/>
      <c r="W25" s="205" t="s">
        <v>1784</v>
      </c>
      <c r="X25" s="209" t="s">
        <v>481</v>
      </c>
      <c r="Y25" s="209"/>
      <c r="Z25" s="209"/>
      <c r="AA25" s="196"/>
      <c r="AB25" s="193"/>
      <c r="AC25" s="193"/>
      <c r="AD25" s="193"/>
      <c r="AE25" s="193"/>
      <c r="AF25" s="209"/>
      <c r="AG25" s="209"/>
      <c r="AH25" s="209"/>
      <c r="AI25" s="193"/>
      <c r="AJ25" s="193"/>
      <c r="AK25" s="193"/>
      <c r="AL25" s="193"/>
      <c r="AM25" s="193"/>
      <c r="AN25" s="193"/>
      <c r="AO25" s="193"/>
      <c r="AP25" s="226" t="s">
        <v>1018</v>
      </c>
      <c r="AQ25" s="209"/>
      <c r="AR25" s="209"/>
      <c r="AS25" s="209"/>
      <c r="AT25" s="209"/>
      <c r="AU25" s="209"/>
      <c r="AV25" s="209"/>
      <c r="AW25" s="209"/>
      <c r="AX25" s="209"/>
      <c r="AY25" s="209"/>
      <c r="AZ25" s="209"/>
      <c r="BA25" s="209"/>
      <c r="BB25" s="209"/>
      <c r="BC25" s="209"/>
      <c r="BD25" s="209"/>
      <c r="BE25" s="209"/>
      <c r="BF25" s="192">
        <v>44531</v>
      </c>
      <c r="BG25" s="209"/>
    </row>
    <row r="26" spans="1:59" s="73" customFormat="1" ht="15.75" hidden="1" customHeight="1" x14ac:dyDescent="0.25">
      <c r="A26" s="193">
        <f>SUBTOTAL(3,$C$5:C26)</f>
        <v>0</v>
      </c>
      <c r="B26" s="193"/>
      <c r="C26" s="209" t="s">
        <v>605</v>
      </c>
      <c r="D26" s="309" t="s">
        <v>78</v>
      </c>
      <c r="E26" s="193"/>
      <c r="F26" s="193"/>
      <c r="G26" s="203"/>
      <c r="H26" s="193"/>
      <c r="I26" s="203"/>
      <c r="J26" s="209"/>
      <c r="K26" s="209"/>
      <c r="L26" s="209"/>
      <c r="M26" s="209"/>
      <c r="N26" s="209"/>
      <c r="O26" s="226"/>
      <c r="P26" s="226"/>
      <c r="Q26" s="209"/>
      <c r="R26" s="209"/>
      <c r="S26" s="226"/>
      <c r="T26" s="226"/>
      <c r="U26" s="199" t="s">
        <v>807</v>
      </c>
      <c r="V26" s="199"/>
      <c r="W26" s="205" t="s">
        <v>89</v>
      </c>
      <c r="X26" s="209"/>
      <c r="Y26" s="209"/>
      <c r="Z26" s="209"/>
      <c r="AA26" s="196"/>
      <c r="AB26" s="193"/>
      <c r="AC26" s="193"/>
      <c r="AD26" s="193"/>
      <c r="AE26" s="193"/>
      <c r="AF26" s="209"/>
      <c r="AG26" s="209"/>
      <c r="AH26" s="209"/>
      <c r="AI26" s="193"/>
      <c r="AJ26" s="193"/>
      <c r="AK26" s="193"/>
      <c r="AL26" s="193"/>
      <c r="AM26" s="193"/>
      <c r="AN26" s="193"/>
      <c r="AO26" s="193"/>
      <c r="AP26" s="226"/>
      <c r="AQ26" s="209"/>
      <c r="AR26" s="209"/>
      <c r="AS26" s="209"/>
      <c r="AT26" s="209"/>
      <c r="AU26" s="209"/>
      <c r="AV26" s="209"/>
      <c r="AW26" s="209"/>
      <c r="AX26" s="209"/>
      <c r="AY26" s="209"/>
      <c r="AZ26" s="209"/>
      <c r="BA26" s="209"/>
      <c r="BB26" s="209"/>
      <c r="BC26" s="209"/>
      <c r="BD26" s="209"/>
      <c r="BE26" s="209"/>
      <c r="BF26" s="192">
        <v>44494</v>
      </c>
      <c r="BG26" s="209"/>
    </row>
    <row r="27" spans="1:59" s="73" customFormat="1" ht="15.75" hidden="1" customHeight="1" x14ac:dyDescent="0.25">
      <c r="A27" s="193">
        <f>SUBTOTAL(3,$C$5:C27)</f>
        <v>0</v>
      </c>
      <c r="B27" s="193"/>
      <c r="C27" s="199" t="s">
        <v>810</v>
      </c>
      <c r="D27" s="199" t="s">
        <v>34</v>
      </c>
      <c r="E27" s="192">
        <v>21916</v>
      </c>
      <c r="F27" s="192"/>
      <c r="G27" s="203" t="s">
        <v>1021</v>
      </c>
      <c r="H27" s="192">
        <v>39064</v>
      </c>
      <c r="I27" s="203" t="s">
        <v>1016</v>
      </c>
      <c r="J27" s="199" t="s">
        <v>1022</v>
      </c>
      <c r="K27" s="199" t="s">
        <v>1023</v>
      </c>
      <c r="L27" s="199" t="s">
        <v>1024</v>
      </c>
      <c r="M27" s="199" t="s">
        <v>1025</v>
      </c>
      <c r="N27" s="199" t="s">
        <v>417</v>
      </c>
      <c r="O27" s="226" t="s">
        <v>1026</v>
      </c>
      <c r="P27" s="226"/>
      <c r="Q27" s="209"/>
      <c r="R27" s="209"/>
      <c r="S27" s="226"/>
      <c r="T27" s="226"/>
      <c r="U27" s="209" t="s">
        <v>808</v>
      </c>
      <c r="V27" s="209"/>
      <c r="W27" s="205" t="s">
        <v>1784</v>
      </c>
      <c r="X27" s="209" t="s">
        <v>481</v>
      </c>
      <c r="Y27" s="209"/>
      <c r="Z27" s="209"/>
      <c r="AA27" s="196"/>
      <c r="AB27" s="192">
        <v>44491</v>
      </c>
      <c r="AC27" s="192"/>
      <c r="AD27" s="192"/>
      <c r="AE27" s="192"/>
      <c r="AF27" s="209"/>
      <c r="AG27" s="209"/>
      <c r="AH27" s="209"/>
      <c r="AI27" s="193"/>
      <c r="AJ27" s="193"/>
      <c r="AK27" s="193"/>
      <c r="AL27" s="193"/>
      <c r="AM27" s="193"/>
      <c r="AN27" s="193"/>
      <c r="AO27" s="193"/>
      <c r="AP27" s="226"/>
      <c r="AQ27" s="209"/>
      <c r="AR27" s="209"/>
      <c r="AS27" s="209"/>
      <c r="AT27" s="209"/>
      <c r="AU27" s="209"/>
      <c r="AV27" s="209"/>
      <c r="AW27" s="209"/>
      <c r="AX27" s="209"/>
      <c r="AY27" s="209"/>
      <c r="AZ27" s="209"/>
      <c r="BA27" s="209"/>
      <c r="BB27" s="209"/>
      <c r="BC27" s="209"/>
      <c r="BD27" s="209"/>
      <c r="BE27" s="209"/>
      <c r="BF27" s="192">
        <v>44568</v>
      </c>
      <c r="BG27" s="209"/>
    </row>
    <row r="28" spans="1:59" s="73" customFormat="1" ht="15.75" hidden="1" customHeight="1" x14ac:dyDescent="0.25">
      <c r="A28" s="193">
        <f>SUBTOTAL(3,$C$5:C28)</f>
        <v>0</v>
      </c>
      <c r="B28" s="193"/>
      <c r="C28" s="199" t="s">
        <v>1027</v>
      </c>
      <c r="D28" s="199" t="s">
        <v>34</v>
      </c>
      <c r="E28" s="192">
        <v>30020</v>
      </c>
      <c r="F28" s="192"/>
      <c r="G28" s="238" t="s">
        <v>1028</v>
      </c>
      <c r="H28" s="192">
        <v>43439</v>
      </c>
      <c r="I28" s="203" t="s">
        <v>37</v>
      </c>
      <c r="J28" s="199" t="s">
        <v>1029</v>
      </c>
      <c r="K28" s="209"/>
      <c r="L28" s="209"/>
      <c r="M28" s="209"/>
      <c r="N28" s="209"/>
      <c r="O28" s="226"/>
      <c r="P28" s="226"/>
      <c r="Q28" s="209"/>
      <c r="R28" s="209"/>
      <c r="S28" s="226"/>
      <c r="T28" s="226"/>
      <c r="U28" s="209" t="s">
        <v>1030</v>
      </c>
      <c r="V28" s="209"/>
      <c r="W28" s="205" t="s">
        <v>179</v>
      </c>
      <c r="X28" s="209"/>
      <c r="Y28" s="209"/>
      <c r="Z28" s="209"/>
      <c r="AA28" s="196"/>
      <c r="AB28" s="192">
        <v>43739</v>
      </c>
      <c r="AC28" s="192"/>
      <c r="AD28" s="192"/>
      <c r="AE28" s="192"/>
      <c r="AF28" s="209"/>
      <c r="AG28" s="209"/>
      <c r="AH28" s="209"/>
      <c r="AI28" s="193"/>
      <c r="AJ28" s="193"/>
      <c r="AK28" s="193"/>
      <c r="AL28" s="193"/>
      <c r="AM28" s="193"/>
      <c r="AN28" s="193"/>
      <c r="AO28" s="193"/>
      <c r="AP28" s="226"/>
      <c r="AQ28" s="209"/>
      <c r="AR28" s="209"/>
      <c r="AS28" s="209"/>
      <c r="AT28" s="209"/>
      <c r="AU28" s="209"/>
      <c r="AV28" s="209"/>
      <c r="AW28" s="209"/>
      <c r="AX28" s="209"/>
      <c r="AY28" s="209"/>
      <c r="AZ28" s="209"/>
      <c r="BA28" s="209"/>
      <c r="BB28" s="209"/>
      <c r="BC28" s="209"/>
      <c r="BD28" s="209"/>
      <c r="BE28" s="209"/>
      <c r="BF28" s="192"/>
      <c r="BG28" s="209"/>
    </row>
    <row r="29" spans="1:59" s="73" customFormat="1" ht="15.75" hidden="1" customHeight="1" x14ac:dyDescent="0.25">
      <c r="A29" s="193">
        <f>SUBTOTAL(3,$C$5:C29)</f>
        <v>0</v>
      </c>
      <c r="B29" s="193"/>
      <c r="C29" s="199" t="s">
        <v>813</v>
      </c>
      <c r="D29" s="199" t="s">
        <v>34</v>
      </c>
      <c r="E29" s="192">
        <v>22883</v>
      </c>
      <c r="F29" s="192"/>
      <c r="G29" s="238">
        <v>42062001990</v>
      </c>
      <c r="H29" s="192">
        <v>44305</v>
      </c>
      <c r="I29" s="257" t="s">
        <v>37</v>
      </c>
      <c r="J29" s="209" t="s">
        <v>1031</v>
      </c>
      <c r="K29" s="209" t="s">
        <v>1032</v>
      </c>
      <c r="L29" s="209">
        <v>13</v>
      </c>
      <c r="M29" s="209" t="s">
        <v>983</v>
      </c>
      <c r="N29" s="199" t="s">
        <v>41</v>
      </c>
      <c r="O29" s="253" t="s">
        <v>1033</v>
      </c>
      <c r="P29" s="253"/>
      <c r="Q29" s="209" t="s">
        <v>1034</v>
      </c>
      <c r="R29" s="209" t="s">
        <v>71</v>
      </c>
      <c r="S29" s="253" t="s">
        <v>1035</v>
      </c>
      <c r="T29" s="253"/>
      <c r="U29" s="209" t="s">
        <v>1036</v>
      </c>
      <c r="V29" s="209"/>
      <c r="W29" s="205" t="s">
        <v>1784</v>
      </c>
      <c r="X29" s="209" t="s">
        <v>46</v>
      </c>
      <c r="Y29" s="209" t="s">
        <v>1037</v>
      </c>
      <c r="Z29" s="209"/>
      <c r="AA29" s="196" t="s">
        <v>1038</v>
      </c>
      <c r="AB29" s="192">
        <v>44501</v>
      </c>
      <c r="AC29" s="192"/>
      <c r="AD29" s="192"/>
      <c r="AE29" s="192"/>
      <c r="AF29" s="209"/>
      <c r="AG29" s="209"/>
      <c r="AH29" s="209"/>
      <c r="AI29" s="193"/>
      <c r="AJ29" s="193"/>
      <c r="AK29" s="193"/>
      <c r="AL29" s="193"/>
      <c r="AM29" s="193"/>
      <c r="AN29" s="193"/>
      <c r="AO29" s="193"/>
      <c r="AP29" s="209"/>
      <c r="AQ29" s="209"/>
      <c r="AR29" s="209"/>
      <c r="AS29" s="209"/>
      <c r="AT29" s="209"/>
      <c r="AU29" s="209"/>
      <c r="AV29" s="209"/>
      <c r="AW29" s="209"/>
      <c r="AX29" s="209"/>
      <c r="AY29" s="209"/>
      <c r="AZ29" s="209"/>
      <c r="BA29" s="209"/>
      <c r="BB29" s="209"/>
      <c r="BC29" s="209"/>
      <c r="BD29" s="209"/>
      <c r="BE29" s="209"/>
      <c r="BF29" s="192">
        <v>44582</v>
      </c>
      <c r="BG29" s="209"/>
    </row>
    <row r="30" spans="1:59" s="73" customFormat="1" ht="13.2" hidden="1" x14ac:dyDescent="0.25">
      <c r="A30" s="193">
        <f>SUBTOTAL(3,$C$5:C30)</f>
        <v>0</v>
      </c>
      <c r="B30" s="193"/>
      <c r="C30" s="199" t="s">
        <v>208</v>
      </c>
      <c r="D30" s="199" t="s">
        <v>34</v>
      </c>
      <c r="E30" s="206">
        <v>30002</v>
      </c>
      <c r="F30" s="206"/>
      <c r="G30" s="207" t="s">
        <v>754</v>
      </c>
      <c r="H30" s="303">
        <v>44387</v>
      </c>
      <c r="I30" s="207" t="s">
        <v>37</v>
      </c>
      <c r="J30" s="199" t="s">
        <v>1039</v>
      </c>
      <c r="K30" s="199" t="s">
        <v>1040</v>
      </c>
      <c r="L30" s="199" t="s">
        <v>1041</v>
      </c>
      <c r="M30" s="199" t="s">
        <v>52</v>
      </c>
      <c r="N30" s="199" t="s">
        <v>41</v>
      </c>
      <c r="O30" s="201" t="s">
        <v>757</v>
      </c>
      <c r="P30" s="201"/>
      <c r="Q30" s="202" t="s">
        <v>758</v>
      </c>
      <c r="R30" s="202" t="s">
        <v>71</v>
      </c>
      <c r="S30" s="227" t="s">
        <v>759</v>
      </c>
      <c r="T30" s="227"/>
      <c r="U30" s="199" t="s">
        <v>1042</v>
      </c>
      <c r="V30" s="199"/>
      <c r="W30" s="205" t="s">
        <v>179</v>
      </c>
      <c r="X30" s="199" t="s">
        <v>1043</v>
      </c>
      <c r="Y30" s="199" t="s">
        <v>74</v>
      </c>
      <c r="Z30" s="199"/>
      <c r="AA30" s="205" t="s">
        <v>761</v>
      </c>
      <c r="AB30" s="309"/>
      <c r="AC30" s="309"/>
      <c r="AD30" s="309"/>
      <c r="AE30" s="309"/>
      <c r="AF30" s="209"/>
      <c r="AG30" s="209"/>
      <c r="AH30" s="209"/>
      <c r="AI30" s="193"/>
      <c r="AJ30" s="193"/>
      <c r="AK30" s="193"/>
      <c r="AL30" s="193"/>
      <c r="AM30" s="193"/>
      <c r="AN30" s="193"/>
      <c r="AO30" s="193"/>
      <c r="AP30" s="227">
        <v>7912096653</v>
      </c>
      <c r="AQ30" s="209"/>
      <c r="AR30" s="209"/>
      <c r="AS30" s="209"/>
      <c r="AT30" s="209"/>
      <c r="AU30" s="209"/>
      <c r="AV30" s="209"/>
      <c r="AW30" s="209"/>
      <c r="AX30" s="209"/>
      <c r="AY30" s="209"/>
      <c r="AZ30" s="209"/>
      <c r="BA30" s="209"/>
      <c r="BB30" s="209"/>
      <c r="BC30" s="209"/>
      <c r="BD30" s="209"/>
      <c r="BE30" s="209"/>
      <c r="BF30" s="206">
        <v>44587</v>
      </c>
      <c r="BG30" s="209"/>
    </row>
    <row r="31" spans="1:59" s="73" customFormat="1" ht="15.75" hidden="1" customHeight="1" x14ac:dyDescent="0.25">
      <c r="A31" s="193">
        <f>SUBTOTAL(3,$C$5:C31)</f>
        <v>0</v>
      </c>
      <c r="B31" s="301" t="s">
        <v>1044</v>
      </c>
      <c r="C31" s="199" t="s">
        <v>816</v>
      </c>
      <c r="D31" s="199" t="s">
        <v>34</v>
      </c>
      <c r="E31" s="192">
        <v>34285</v>
      </c>
      <c r="F31" s="192"/>
      <c r="G31" s="238" t="s">
        <v>1045</v>
      </c>
      <c r="H31" s="239" t="s">
        <v>1046</v>
      </c>
      <c r="I31" s="193" t="s">
        <v>1047</v>
      </c>
      <c r="J31" s="209" t="s">
        <v>1048</v>
      </c>
      <c r="K31" s="209" t="s">
        <v>1049</v>
      </c>
      <c r="L31" s="209" t="s">
        <v>1050</v>
      </c>
      <c r="M31" s="209" t="s">
        <v>1051</v>
      </c>
      <c r="N31" s="199" t="s">
        <v>41</v>
      </c>
      <c r="O31" s="253" t="s">
        <v>1052</v>
      </c>
      <c r="P31" s="253"/>
      <c r="Q31" s="209" t="s">
        <v>1053</v>
      </c>
      <c r="R31" s="209" t="s">
        <v>534</v>
      </c>
      <c r="S31" s="253" t="s">
        <v>1054</v>
      </c>
      <c r="T31" s="253"/>
      <c r="U31" s="226" t="s">
        <v>1055</v>
      </c>
      <c r="V31" s="226"/>
      <c r="W31" s="205" t="s">
        <v>179</v>
      </c>
      <c r="X31" s="209" t="s">
        <v>286</v>
      </c>
      <c r="Y31" s="209" t="s">
        <v>585</v>
      </c>
      <c r="Z31" s="209"/>
      <c r="AA31" s="196" t="s">
        <v>1056</v>
      </c>
      <c r="AB31" s="192">
        <v>44610</v>
      </c>
      <c r="AC31" s="192"/>
      <c r="AD31" s="192"/>
      <c r="AE31" s="192"/>
      <c r="AF31" s="209"/>
      <c r="AG31" s="209"/>
      <c r="AH31" s="209"/>
      <c r="AI31" s="193"/>
      <c r="AJ31" s="193"/>
      <c r="AK31" s="193"/>
      <c r="AL31" s="193"/>
      <c r="AM31" s="193"/>
      <c r="AN31" s="193"/>
      <c r="AO31" s="193"/>
      <c r="AP31" s="209"/>
      <c r="AQ31" s="209"/>
      <c r="AR31" s="209"/>
      <c r="AS31" s="209"/>
      <c r="AT31" s="209"/>
      <c r="AU31" s="209"/>
      <c r="AV31" s="209"/>
      <c r="AW31" s="209"/>
      <c r="AX31" s="209"/>
      <c r="AY31" s="209"/>
      <c r="AZ31" s="209"/>
      <c r="BA31" s="209"/>
      <c r="BB31" s="209"/>
      <c r="BC31" s="209"/>
      <c r="BD31" s="209"/>
      <c r="BE31" s="209"/>
      <c r="BF31" s="192">
        <v>44640</v>
      </c>
      <c r="BG31" s="209"/>
    </row>
    <row r="32" spans="1:59" s="73" customFormat="1" ht="13.2" hidden="1" x14ac:dyDescent="0.25">
      <c r="A32" s="193">
        <f>SUBTOTAL(3,$C$5:C32)</f>
        <v>0</v>
      </c>
      <c r="B32" s="301"/>
      <c r="C32" s="199" t="s">
        <v>369</v>
      </c>
      <c r="D32" s="199" t="s">
        <v>34</v>
      </c>
      <c r="E32" s="206">
        <v>32375</v>
      </c>
      <c r="F32" s="206"/>
      <c r="G32" s="211" t="s">
        <v>1057</v>
      </c>
      <c r="H32" s="206">
        <v>43054</v>
      </c>
      <c r="I32" s="302" t="s">
        <v>1058</v>
      </c>
      <c r="J32" s="199" t="s">
        <v>1059</v>
      </c>
      <c r="K32" s="199" t="s">
        <v>602</v>
      </c>
      <c r="L32" s="199" t="s">
        <v>603</v>
      </c>
      <c r="M32" s="199" t="s">
        <v>52</v>
      </c>
      <c r="N32" s="199" t="s">
        <v>41</v>
      </c>
      <c r="O32" s="227">
        <v>976457771.09172499</v>
      </c>
      <c r="P32" s="227"/>
      <c r="Q32" s="199" t="s">
        <v>605</v>
      </c>
      <c r="R32" s="199" t="s">
        <v>71</v>
      </c>
      <c r="S32" s="227" t="s">
        <v>606</v>
      </c>
      <c r="T32" s="227"/>
      <c r="U32" s="199" t="s">
        <v>1060</v>
      </c>
      <c r="V32" s="199"/>
      <c r="W32" s="205" t="s">
        <v>368</v>
      </c>
      <c r="X32" s="199" t="s">
        <v>1061</v>
      </c>
      <c r="Y32" s="199" t="s">
        <v>609</v>
      </c>
      <c r="Z32" s="199"/>
      <c r="AA32" s="205" t="s">
        <v>610</v>
      </c>
      <c r="AB32" s="206">
        <v>43545</v>
      </c>
      <c r="AC32" s="206"/>
      <c r="AD32" s="206"/>
      <c r="AE32" s="206"/>
      <c r="AF32" s="209"/>
      <c r="AG32" s="209"/>
      <c r="AH32" s="209"/>
      <c r="AI32" s="220"/>
      <c r="AJ32" s="220"/>
      <c r="AK32" s="220"/>
      <c r="AL32" s="220"/>
      <c r="AM32" s="220"/>
      <c r="AN32" s="220"/>
      <c r="AO32" s="220"/>
      <c r="AP32" s="227" t="s">
        <v>607</v>
      </c>
      <c r="AQ32" s="209"/>
      <c r="AR32" s="209"/>
      <c r="AS32" s="209"/>
      <c r="AT32" s="209"/>
      <c r="AU32" s="190"/>
      <c r="AV32" s="190"/>
      <c r="AW32" s="190"/>
      <c r="AX32" s="190"/>
      <c r="AY32" s="190"/>
      <c r="AZ32" s="190"/>
      <c r="BA32" s="190"/>
      <c r="BB32" s="190"/>
      <c r="BC32" s="190"/>
      <c r="BD32" s="190"/>
      <c r="BE32" s="190"/>
      <c r="BF32" s="192">
        <v>44680</v>
      </c>
      <c r="BG32" s="209"/>
    </row>
    <row r="33" spans="1:59" s="73" customFormat="1" ht="15.75" hidden="1" customHeight="1" x14ac:dyDescent="0.25">
      <c r="A33" s="193">
        <f>SUBTOTAL(3,$C$5:C33)</f>
        <v>0</v>
      </c>
      <c r="B33" s="301" t="s">
        <v>1062</v>
      </c>
      <c r="C33" s="209" t="s">
        <v>829</v>
      </c>
      <c r="D33" s="209" t="s">
        <v>34</v>
      </c>
      <c r="E33" s="192">
        <v>32635</v>
      </c>
      <c r="F33" s="192"/>
      <c r="G33" s="203" t="s">
        <v>1063</v>
      </c>
      <c r="H33" s="192">
        <v>43880</v>
      </c>
      <c r="I33" s="203" t="s">
        <v>37</v>
      </c>
      <c r="J33" s="209" t="s">
        <v>1064</v>
      </c>
      <c r="K33" s="209" t="s">
        <v>1065</v>
      </c>
      <c r="L33" s="209" t="s">
        <v>1066</v>
      </c>
      <c r="M33" s="209" t="s">
        <v>636</v>
      </c>
      <c r="N33" s="209" t="s">
        <v>41</v>
      </c>
      <c r="O33" s="226" t="s">
        <v>1067</v>
      </c>
      <c r="P33" s="226"/>
      <c r="Q33" s="209" t="s">
        <v>1068</v>
      </c>
      <c r="R33" s="209" t="s">
        <v>282</v>
      </c>
      <c r="S33" s="226" t="s">
        <v>1069</v>
      </c>
      <c r="T33" s="226"/>
      <c r="U33" s="199" t="s">
        <v>1070</v>
      </c>
      <c r="V33" s="199"/>
      <c r="W33" s="205" t="s">
        <v>179</v>
      </c>
      <c r="X33" s="209" t="s">
        <v>1071</v>
      </c>
      <c r="Y33" s="209" t="s">
        <v>585</v>
      </c>
      <c r="Z33" s="209"/>
      <c r="AA33" s="196" t="s">
        <v>1072</v>
      </c>
      <c r="AB33" s="192">
        <v>44652</v>
      </c>
      <c r="AC33" s="192"/>
      <c r="AD33" s="192"/>
      <c r="AE33" s="192"/>
      <c r="AF33" s="209"/>
      <c r="AG33" s="209"/>
      <c r="AH33" s="209"/>
      <c r="AI33" s="193"/>
      <c r="AJ33" s="193"/>
      <c r="AK33" s="193"/>
      <c r="AL33" s="193"/>
      <c r="AM33" s="193"/>
      <c r="AN33" s="193"/>
      <c r="AO33" s="193"/>
      <c r="AP33" s="226"/>
      <c r="AQ33" s="209"/>
      <c r="AR33" s="209"/>
      <c r="AS33" s="209"/>
      <c r="AT33" s="209"/>
      <c r="AU33" s="209"/>
      <c r="AV33" s="209"/>
      <c r="AW33" s="209"/>
      <c r="AX33" s="209"/>
      <c r="AY33" s="209"/>
      <c r="AZ33" s="209"/>
      <c r="BA33" s="209"/>
      <c r="BB33" s="209"/>
      <c r="BC33" s="209"/>
      <c r="BD33" s="209"/>
      <c r="BE33" s="209"/>
      <c r="BF33" s="192">
        <v>44658</v>
      </c>
      <c r="BG33" s="209"/>
    </row>
    <row r="34" spans="1:59" s="73" customFormat="1" ht="15.75" hidden="1" customHeight="1" x14ac:dyDescent="0.25">
      <c r="A34" s="193">
        <f>SUBTOTAL(3,$C$5:C34)</f>
        <v>0</v>
      </c>
      <c r="B34" s="301" t="s">
        <v>1073</v>
      </c>
      <c r="C34" s="242" t="s">
        <v>821</v>
      </c>
      <c r="D34" s="242" t="s">
        <v>34</v>
      </c>
      <c r="E34" s="248">
        <v>33903</v>
      </c>
      <c r="F34" s="248"/>
      <c r="G34" s="247">
        <v>54092001756</v>
      </c>
      <c r="H34" s="248">
        <v>44313</v>
      </c>
      <c r="I34" s="247" t="s">
        <v>1074</v>
      </c>
      <c r="J34" s="242" t="s">
        <v>1075</v>
      </c>
      <c r="K34" s="242" t="s">
        <v>1076</v>
      </c>
      <c r="L34" s="242" t="s">
        <v>1077</v>
      </c>
      <c r="M34" s="242" t="s">
        <v>1078</v>
      </c>
      <c r="N34" s="242" t="s">
        <v>41</v>
      </c>
      <c r="O34" s="244" t="s">
        <v>1079</v>
      </c>
      <c r="P34" s="244"/>
      <c r="Q34" s="242" t="s">
        <v>1080</v>
      </c>
      <c r="R34" s="242" t="s">
        <v>1081</v>
      </c>
      <c r="S34" s="242" t="s">
        <v>1082</v>
      </c>
      <c r="T34" s="242"/>
      <c r="U34" s="199" t="s">
        <v>1070</v>
      </c>
      <c r="V34" s="199"/>
      <c r="W34" s="205" t="s">
        <v>179</v>
      </c>
      <c r="X34" s="242" t="s">
        <v>286</v>
      </c>
      <c r="Y34" s="242" t="s">
        <v>140</v>
      </c>
      <c r="Z34" s="242"/>
      <c r="AA34" s="246" t="s">
        <v>1083</v>
      </c>
      <c r="AB34" s="248">
        <v>44624</v>
      </c>
      <c r="AC34" s="248"/>
      <c r="AD34" s="248"/>
      <c r="AE34" s="248"/>
      <c r="AF34" s="209"/>
      <c r="AG34" s="209"/>
      <c r="AH34" s="209"/>
      <c r="AI34" s="193"/>
      <c r="AJ34" s="193"/>
      <c r="AK34" s="193"/>
      <c r="AL34" s="193"/>
      <c r="AM34" s="193"/>
      <c r="AN34" s="193"/>
      <c r="AO34" s="193"/>
      <c r="AP34" s="242"/>
      <c r="AQ34" s="209"/>
      <c r="AR34" s="209"/>
      <c r="AS34" s="209"/>
      <c r="AT34" s="209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2">
        <v>44672</v>
      </c>
      <c r="BG34" s="209"/>
    </row>
    <row r="35" spans="1:59" s="73" customFormat="1" ht="15.75" hidden="1" customHeight="1" x14ac:dyDescent="0.25">
      <c r="A35" s="193">
        <f>SUBTOTAL(3,$C$5:C35)</f>
        <v>0</v>
      </c>
      <c r="B35" s="301" t="s">
        <v>1084</v>
      </c>
      <c r="C35" s="209" t="s">
        <v>827</v>
      </c>
      <c r="D35" s="209" t="s">
        <v>34</v>
      </c>
      <c r="E35" s="192">
        <v>34176</v>
      </c>
      <c r="F35" s="192"/>
      <c r="G35" s="203" t="s">
        <v>1085</v>
      </c>
      <c r="H35" s="192">
        <v>41572</v>
      </c>
      <c r="I35" s="203" t="s">
        <v>1074</v>
      </c>
      <c r="J35" s="209" t="s">
        <v>1086</v>
      </c>
      <c r="K35" s="209" t="s">
        <v>1087</v>
      </c>
      <c r="L35" s="209" t="s">
        <v>1088</v>
      </c>
      <c r="M35" s="209" t="s">
        <v>1089</v>
      </c>
      <c r="N35" s="209" t="s">
        <v>1090</v>
      </c>
      <c r="O35" s="226" t="s">
        <v>1091</v>
      </c>
      <c r="P35" s="226"/>
      <c r="Q35" s="209" t="s">
        <v>1092</v>
      </c>
      <c r="R35" s="209" t="s">
        <v>1093</v>
      </c>
      <c r="S35" s="226" t="s">
        <v>1094</v>
      </c>
      <c r="T35" s="226"/>
      <c r="U35" s="199" t="s">
        <v>1070</v>
      </c>
      <c r="V35" s="199"/>
      <c r="W35" s="205" t="s">
        <v>179</v>
      </c>
      <c r="X35" s="209" t="s">
        <v>1095</v>
      </c>
      <c r="Y35" s="209" t="s">
        <v>585</v>
      </c>
      <c r="Z35" s="209"/>
      <c r="AA35" s="196" t="s">
        <v>1096</v>
      </c>
      <c r="AB35" s="192">
        <v>44641</v>
      </c>
      <c r="AC35" s="192"/>
      <c r="AD35" s="192"/>
      <c r="AE35" s="192"/>
      <c r="AF35" s="209"/>
      <c r="AG35" s="209"/>
      <c r="AH35" s="209"/>
      <c r="AI35" s="193"/>
      <c r="AJ35" s="193"/>
      <c r="AK35" s="193"/>
      <c r="AL35" s="193"/>
      <c r="AM35" s="193"/>
      <c r="AN35" s="193"/>
      <c r="AO35" s="193"/>
      <c r="AP35" s="226"/>
      <c r="AQ35" s="209"/>
      <c r="AR35" s="209"/>
      <c r="AS35" s="209"/>
      <c r="AT35" s="209"/>
      <c r="AU35" s="209"/>
      <c r="AV35" s="209"/>
      <c r="AW35" s="209"/>
      <c r="AX35" s="209"/>
      <c r="AY35" s="209"/>
      <c r="AZ35" s="209"/>
      <c r="BA35" s="209"/>
      <c r="BB35" s="209"/>
      <c r="BC35" s="209"/>
      <c r="BD35" s="209"/>
      <c r="BE35" s="209"/>
      <c r="BF35" s="192">
        <v>44673</v>
      </c>
      <c r="BG35" s="209"/>
    </row>
    <row r="36" spans="1:59" s="73" customFormat="1" ht="15.75" hidden="1" customHeight="1" x14ac:dyDescent="0.25">
      <c r="A36" s="193">
        <f>SUBTOTAL(3,$C$5:C36)</f>
        <v>0</v>
      </c>
      <c r="B36" s="301" t="s">
        <v>1097</v>
      </c>
      <c r="C36" s="242" t="s">
        <v>819</v>
      </c>
      <c r="D36" s="242" t="s">
        <v>34</v>
      </c>
      <c r="E36" s="248">
        <v>34566</v>
      </c>
      <c r="F36" s="248"/>
      <c r="G36" s="247">
        <v>212378162</v>
      </c>
      <c r="H36" s="310" t="s">
        <v>1098</v>
      </c>
      <c r="I36" s="247" t="s">
        <v>1099</v>
      </c>
      <c r="J36" s="242" t="s">
        <v>1100</v>
      </c>
      <c r="K36" s="242" t="s">
        <v>1101</v>
      </c>
      <c r="L36" s="242" t="s">
        <v>1102</v>
      </c>
      <c r="M36" s="242" t="s">
        <v>1103</v>
      </c>
      <c r="N36" s="242" t="s">
        <v>475</v>
      </c>
      <c r="O36" s="244" t="s">
        <v>1104</v>
      </c>
      <c r="P36" s="244"/>
      <c r="Q36" s="242"/>
      <c r="R36" s="242" t="s">
        <v>71</v>
      </c>
      <c r="S36" s="244" t="s">
        <v>1105</v>
      </c>
      <c r="T36" s="244"/>
      <c r="U36" s="199" t="s">
        <v>1070</v>
      </c>
      <c r="V36" s="199"/>
      <c r="W36" s="205" t="s">
        <v>179</v>
      </c>
      <c r="X36" s="242" t="s">
        <v>1071</v>
      </c>
      <c r="Y36" s="242" t="s">
        <v>140</v>
      </c>
      <c r="Z36" s="242"/>
      <c r="AA36" s="246" t="s">
        <v>1106</v>
      </c>
      <c r="AB36" s="248">
        <v>44621</v>
      </c>
      <c r="AC36" s="248"/>
      <c r="AD36" s="248"/>
      <c r="AE36" s="248"/>
      <c r="AF36" s="209"/>
      <c r="AG36" s="209"/>
      <c r="AH36" s="209"/>
      <c r="AI36" s="193"/>
      <c r="AJ36" s="193"/>
      <c r="AK36" s="193"/>
      <c r="AL36" s="193"/>
      <c r="AM36" s="193"/>
      <c r="AN36" s="193"/>
      <c r="AO36" s="193"/>
      <c r="AP36" s="246">
        <v>5120139135</v>
      </c>
      <c r="AQ36" s="209"/>
      <c r="AR36" s="209"/>
      <c r="AS36" s="209"/>
      <c r="AT36" s="209"/>
      <c r="AU36" s="209"/>
      <c r="AV36" s="209"/>
      <c r="AW36" s="209"/>
      <c r="AX36" s="209"/>
      <c r="AY36" s="209"/>
      <c r="AZ36" s="209"/>
      <c r="BA36" s="209"/>
      <c r="BB36" s="209"/>
      <c r="BC36" s="209"/>
      <c r="BD36" s="209"/>
      <c r="BE36" s="209"/>
      <c r="BF36" s="192">
        <v>44685</v>
      </c>
      <c r="BG36" s="209"/>
    </row>
    <row r="37" spans="1:59" s="73" customFormat="1" ht="13.2" hidden="1" x14ac:dyDescent="0.25">
      <c r="A37" s="193">
        <f>SUBTOTAL(3,$C$5:C37)</f>
        <v>0</v>
      </c>
      <c r="B37" s="301"/>
      <c r="C37" s="199" t="s">
        <v>481</v>
      </c>
      <c r="D37" s="199" t="s">
        <v>34</v>
      </c>
      <c r="E37" s="206">
        <v>34099</v>
      </c>
      <c r="F37" s="206"/>
      <c r="G37" s="211" t="s">
        <v>1107</v>
      </c>
      <c r="H37" s="303">
        <v>40473</v>
      </c>
      <c r="I37" s="304" t="s">
        <v>1108</v>
      </c>
      <c r="J37" s="199" t="s">
        <v>1109</v>
      </c>
      <c r="K37" s="199" t="s">
        <v>1110</v>
      </c>
      <c r="L37" s="199" t="s">
        <v>172</v>
      </c>
      <c r="M37" s="199" t="s">
        <v>52</v>
      </c>
      <c r="N37" s="199" t="s">
        <v>41</v>
      </c>
      <c r="O37" s="201" t="s">
        <v>1111</v>
      </c>
      <c r="P37" s="201"/>
      <c r="Q37" s="202" t="s">
        <v>1112</v>
      </c>
      <c r="R37" s="202" t="s">
        <v>71</v>
      </c>
      <c r="S37" s="227" t="s">
        <v>1113</v>
      </c>
      <c r="T37" s="227"/>
      <c r="U37" s="199" t="s">
        <v>74</v>
      </c>
      <c r="V37" s="199"/>
      <c r="W37" s="205" t="s">
        <v>179</v>
      </c>
      <c r="X37" s="199" t="s">
        <v>62</v>
      </c>
      <c r="Y37" s="199" t="s">
        <v>74</v>
      </c>
      <c r="Z37" s="199"/>
      <c r="AA37" s="205" t="s">
        <v>1114</v>
      </c>
      <c r="AB37" s="309"/>
      <c r="AC37" s="309"/>
      <c r="AD37" s="309"/>
      <c r="AE37" s="309"/>
      <c r="AF37" s="209"/>
      <c r="AG37" s="209"/>
      <c r="AH37" s="209"/>
      <c r="AI37" s="193"/>
      <c r="AJ37" s="193"/>
      <c r="AK37" s="193"/>
      <c r="AL37" s="193"/>
      <c r="AM37" s="193"/>
      <c r="AN37" s="193"/>
      <c r="AO37" s="193"/>
      <c r="AP37" s="227">
        <v>7916567172</v>
      </c>
      <c r="AQ37" s="209"/>
      <c r="AR37" s="209"/>
      <c r="AS37" s="209"/>
      <c r="AT37" s="209"/>
      <c r="AU37" s="190"/>
      <c r="AV37" s="190"/>
      <c r="AW37" s="190"/>
      <c r="AX37" s="190"/>
      <c r="AY37" s="190"/>
      <c r="AZ37" s="190"/>
      <c r="BA37" s="190"/>
      <c r="BB37" s="190"/>
      <c r="BC37" s="190"/>
      <c r="BD37" s="190"/>
      <c r="BE37" s="190"/>
      <c r="BF37" s="206">
        <v>44680</v>
      </c>
      <c r="BG37" s="209"/>
    </row>
    <row r="38" spans="1:59" s="73" customFormat="1" ht="15.75" hidden="1" customHeight="1" x14ac:dyDescent="0.25">
      <c r="A38" s="193">
        <f>SUBTOTAL(3,$C$5:C38)</f>
        <v>0</v>
      </c>
      <c r="B38" s="301" t="s">
        <v>1115</v>
      </c>
      <c r="C38" s="242" t="s">
        <v>831</v>
      </c>
      <c r="D38" s="242" t="s">
        <v>34</v>
      </c>
      <c r="E38" s="310" t="s">
        <v>1116</v>
      </c>
      <c r="F38" s="310"/>
      <c r="G38" s="245" t="s">
        <v>1117</v>
      </c>
      <c r="H38" s="310" t="s">
        <v>1118</v>
      </c>
      <c r="I38" s="247" t="s">
        <v>1119</v>
      </c>
      <c r="J38" s="242" t="s">
        <v>1120</v>
      </c>
      <c r="K38" s="242" t="s">
        <v>1121</v>
      </c>
      <c r="L38" s="242" t="s">
        <v>1122</v>
      </c>
      <c r="M38" s="242" t="s">
        <v>1123</v>
      </c>
      <c r="N38" s="242" t="s">
        <v>1123</v>
      </c>
      <c r="O38" s="242" t="s">
        <v>1124</v>
      </c>
      <c r="P38" s="242"/>
      <c r="Q38" s="242" t="s">
        <v>1125</v>
      </c>
      <c r="R38" s="242" t="s">
        <v>986</v>
      </c>
      <c r="S38" s="244" t="s">
        <v>1126</v>
      </c>
      <c r="T38" s="244"/>
      <c r="U38" s="242" t="s">
        <v>832</v>
      </c>
      <c r="V38" s="242"/>
      <c r="W38" s="205" t="s">
        <v>1784</v>
      </c>
      <c r="X38" s="242" t="s">
        <v>311</v>
      </c>
      <c r="Y38" s="242" t="s">
        <v>1127</v>
      </c>
      <c r="Z38" s="242"/>
      <c r="AA38" s="246" t="s">
        <v>1128</v>
      </c>
      <c r="AB38" s="248">
        <v>44690</v>
      </c>
      <c r="AC38" s="248"/>
      <c r="AD38" s="248"/>
      <c r="AE38" s="248"/>
      <c r="AF38" s="242"/>
      <c r="AG38" s="242"/>
      <c r="AH38" s="242"/>
      <c r="AI38" s="193"/>
      <c r="AJ38" s="193"/>
      <c r="AK38" s="193"/>
      <c r="AL38" s="193"/>
      <c r="AM38" s="193"/>
      <c r="AN38" s="193"/>
      <c r="AO38" s="193"/>
      <c r="AP38" s="242"/>
      <c r="AQ38" s="242"/>
      <c r="AR38" s="242"/>
      <c r="AS38" s="209"/>
      <c r="AT38" s="209"/>
      <c r="AU38" s="209"/>
      <c r="AV38" s="209"/>
      <c r="AW38" s="209"/>
      <c r="AX38" s="209"/>
      <c r="AY38" s="209"/>
      <c r="AZ38" s="209"/>
      <c r="BA38" s="209"/>
      <c r="BB38" s="209"/>
      <c r="BC38" s="209"/>
      <c r="BD38" s="209"/>
      <c r="BE38" s="209"/>
      <c r="BF38" s="248">
        <v>44730</v>
      </c>
      <c r="BG38" s="209"/>
    </row>
    <row r="39" spans="1:59" s="73" customFormat="1" ht="15.75" hidden="1" customHeight="1" x14ac:dyDescent="0.25">
      <c r="A39" s="193">
        <f>SUBTOTAL(3,$C$5:C39)</f>
        <v>0</v>
      </c>
      <c r="B39" s="301" t="s">
        <v>1129</v>
      </c>
      <c r="C39" s="242" t="s">
        <v>834</v>
      </c>
      <c r="D39" s="242" t="s">
        <v>34</v>
      </c>
      <c r="E39" s="248">
        <v>30176</v>
      </c>
      <c r="F39" s="248"/>
      <c r="G39" s="245" t="s">
        <v>1130</v>
      </c>
      <c r="H39" s="248">
        <v>44460</v>
      </c>
      <c r="I39" s="247" t="s">
        <v>1131</v>
      </c>
      <c r="J39" s="242" t="s">
        <v>1132</v>
      </c>
      <c r="K39" s="242" t="s">
        <v>1133</v>
      </c>
      <c r="L39" s="242" t="s">
        <v>1134</v>
      </c>
      <c r="M39" s="242" t="s">
        <v>1135</v>
      </c>
      <c r="N39" s="242" t="s">
        <v>1136</v>
      </c>
      <c r="O39" s="244" t="s">
        <v>1137</v>
      </c>
      <c r="P39" s="244"/>
      <c r="Q39" s="242" t="s">
        <v>1138</v>
      </c>
      <c r="R39" s="242" t="s">
        <v>71</v>
      </c>
      <c r="S39" s="244" t="s">
        <v>1139</v>
      </c>
      <c r="T39" s="244"/>
      <c r="U39" s="242" t="s">
        <v>1140</v>
      </c>
      <c r="V39" s="242"/>
      <c r="W39" s="205" t="s">
        <v>179</v>
      </c>
      <c r="X39" s="209" t="s">
        <v>168</v>
      </c>
      <c r="Y39" s="242" t="s">
        <v>1141</v>
      </c>
      <c r="Z39" s="242"/>
      <c r="AA39" s="246" t="s">
        <v>1142</v>
      </c>
      <c r="AB39" s="248">
        <v>44713</v>
      </c>
      <c r="AC39" s="248"/>
      <c r="AD39" s="248"/>
      <c r="AE39" s="248"/>
      <c r="AF39" s="209"/>
      <c r="AG39" s="209"/>
      <c r="AH39" s="209"/>
      <c r="AI39" s="193"/>
      <c r="AJ39" s="193"/>
      <c r="AK39" s="193"/>
      <c r="AL39" s="193"/>
      <c r="AM39" s="193"/>
      <c r="AN39" s="193"/>
      <c r="AO39" s="193"/>
      <c r="AP39" s="242"/>
      <c r="AQ39" s="209"/>
      <c r="AR39" s="209"/>
      <c r="AS39" s="209"/>
      <c r="AT39" s="209"/>
      <c r="AU39" s="209"/>
      <c r="AV39" s="209"/>
      <c r="AW39" s="209"/>
      <c r="AX39" s="209"/>
      <c r="AY39" s="209"/>
      <c r="AZ39" s="209"/>
      <c r="BA39" s="209"/>
      <c r="BB39" s="209"/>
      <c r="BC39" s="209"/>
      <c r="BD39" s="209"/>
      <c r="BE39" s="209"/>
      <c r="BF39" s="192">
        <v>44755</v>
      </c>
      <c r="BG39" s="209"/>
    </row>
    <row r="40" spans="1:59" s="73" customFormat="1" ht="15.75" hidden="1" customHeight="1" x14ac:dyDescent="0.25">
      <c r="A40" s="193">
        <f>SUBTOTAL(3,$C$5:C40)</f>
        <v>0</v>
      </c>
      <c r="B40" s="301" t="s">
        <v>1143</v>
      </c>
      <c r="C40" s="209" t="s">
        <v>855</v>
      </c>
      <c r="D40" s="209" t="s">
        <v>34</v>
      </c>
      <c r="E40" s="192">
        <v>35250</v>
      </c>
      <c r="F40" s="192"/>
      <c r="G40" s="257" t="s">
        <v>1144</v>
      </c>
      <c r="H40" s="203" t="s">
        <v>64</v>
      </c>
      <c r="I40" s="247" t="s">
        <v>37</v>
      </c>
      <c r="J40" s="226" t="s">
        <v>1145</v>
      </c>
      <c r="K40" s="209" t="s">
        <v>1146</v>
      </c>
      <c r="L40" s="209" t="s">
        <v>1147</v>
      </c>
      <c r="M40" s="209" t="s">
        <v>1148</v>
      </c>
      <c r="N40" s="209" t="s">
        <v>1149</v>
      </c>
      <c r="O40" s="253" t="s">
        <v>1150</v>
      </c>
      <c r="P40" s="253"/>
      <c r="Q40" s="226" t="s">
        <v>564</v>
      </c>
      <c r="R40" s="209" t="s">
        <v>204</v>
      </c>
      <c r="S40" s="253" t="s">
        <v>1151</v>
      </c>
      <c r="T40" s="253"/>
      <c r="U40" s="226" t="s">
        <v>1152</v>
      </c>
      <c r="V40" s="226"/>
      <c r="W40" s="205" t="s">
        <v>179</v>
      </c>
      <c r="X40" s="209" t="s">
        <v>1153</v>
      </c>
      <c r="Y40" s="209" t="s">
        <v>1141</v>
      </c>
      <c r="Z40" s="209"/>
      <c r="AA40" s="196" t="s">
        <v>1154</v>
      </c>
      <c r="AB40" s="192">
        <v>44826</v>
      </c>
      <c r="AC40" s="192"/>
      <c r="AD40" s="192"/>
      <c r="AE40" s="192"/>
      <c r="AF40" s="209"/>
      <c r="AG40" s="209"/>
      <c r="AH40" s="209"/>
      <c r="AI40" s="193"/>
      <c r="AJ40" s="193"/>
      <c r="AK40" s="193"/>
      <c r="AL40" s="193"/>
      <c r="AM40" s="193"/>
      <c r="AN40" s="193"/>
      <c r="AO40" s="193"/>
      <c r="AP40" s="226"/>
      <c r="AQ40" s="209"/>
      <c r="AR40" s="209"/>
      <c r="AS40" s="209"/>
      <c r="AT40" s="209"/>
      <c r="AU40" s="209"/>
      <c r="AV40" s="209"/>
      <c r="AW40" s="209"/>
      <c r="AX40" s="209"/>
      <c r="AY40" s="209"/>
      <c r="AZ40" s="209"/>
      <c r="BA40" s="209"/>
      <c r="BB40" s="209"/>
      <c r="BC40" s="209"/>
      <c r="BD40" s="209"/>
      <c r="BE40" s="209"/>
      <c r="BF40" s="192">
        <v>44837</v>
      </c>
      <c r="BG40" s="209"/>
    </row>
    <row r="41" spans="1:59" s="73" customFormat="1" ht="15.75" hidden="1" customHeight="1" x14ac:dyDescent="0.25">
      <c r="A41" s="193">
        <f>SUBTOTAL(3,$C$5:C41)</f>
        <v>0</v>
      </c>
      <c r="B41" s="301" t="s">
        <v>1155</v>
      </c>
      <c r="C41" s="209" t="s">
        <v>848</v>
      </c>
      <c r="D41" s="209" t="s">
        <v>34</v>
      </c>
      <c r="E41" s="192">
        <v>33535</v>
      </c>
      <c r="F41" s="192"/>
      <c r="G41" s="203"/>
      <c r="H41" s="192"/>
      <c r="I41" s="203"/>
      <c r="J41" s="209" t="s">
        <v>1156</v>
      </c>
      <c r="K41" s="209"/>
      <c r="L41" s="209"/>
      <c r="M41" s="209"/>
      <c r="N41" s="209"/>
      <c r="O41" s="240" t="s">
        <v>1157</v>
      </c>
      <c r="P41" s="240"/>
      <c r="Q41" s="209"/>
      <c r="R41" s="209"/>
      <c r="S41" s="226"/>
      <c r="T41" s="226"/>
      <c r="U41" s="209"/>
      <c r="V41" s="209"/>
      <c r="W41" s="209"/>
      <c r="X41" s="209"/>
      <c r="Y41" s="209"/>
      <c r="Z41" s="209"/>
      <c r="AA41" s="196"/>
      <c r="AB41" s="192">
        <v>44788</v>
      </c>
      <c r="AC41" s="192"/>
      <c r="AD41" s="192"/>
      <c r="AE41" s="192"/>
      <c r="AF41" s="209"/>
      <c r="AG41" s="209"/>
      <c r="AH41" s="209"/>
      <c r="AI41" s="193"/>
      <c r="AJ41" s="193"/>
      <c r="AK41" s="193"/>
      <c r="AL41" s="193"/>
      <c r="AM41" s="193"/>
      <c r="AN41" s="193"/>
      <c r="AO41" s="193"/>
      <c r="AP41" s="226"/>
      <c r="AQ41" s="209"/>
      <c r="AR41" s="209"/>
      <c r="AS41" s="209"/>
      <c r="AT41" s="209"/>
      <c r="AU41" s="209"/>
      <c r="AV41" s="209"/>
      <c r="AW41" s="209"/>
      <c r="AX41" s="209"/>
      <c r="AY41" s="209"/>
      <c r="AZ41" s="209"/>
      <c r="BA41" s="209"/>
      <c r="BB41" s="209"/>
      <c r="BC41" s="209"/>
      <c r="BD41" s="209"/>
      <c r="BE41" s="209"/>
      <c r="BF41" s="192">
        <v>44830</v>
      </c>
      <c r="BG41" s="209"/>
    </row>
    <row r="42" spans="1:59" s="73" customFormat="1" ht="15.75" hidden="1" customHeight="1" x14ac:dyDescent="0.25">
      <c r="A42" s="193">
        <f>SUBTOTAL(3,$C$5:C42)</f>
        <v>0</v>
      </c>
      <c r="B42" s="301" t="s">
        <v>1158</v>
      </c>
      <c r="C42" s="209" t="s">
        <v>842</v>
      </c>
      <c r="D42" s="209" t="s">
        <v>34</v>
      </c>
      <c r="E42" s="192">
        <v>35845</v>
      </c>
      <c r="F42" s="192"/>
      <c r="G42" s="203"/>
      <c r="H42" s="192"/>
      <c r="I42" s="203"/>
      <c r="J42" s="209"/>
      <c r="K42" s="209"/>
      <c r="L42" s="209"/>
      <c r="M42" s="209"/>
      <c r="N42" s="209"/>
      <c r="O42" s="240" t="s">
        <v>1159</v>
      </c>
      <c r="P42" s="240"/>
      <c r="Q42" s="209"/>
      <c r="R42" s="209"/>
      <c r="S42" s="226"/>
      <c r="T42" s="226"/>
      <c r="U42" s="209" t="s">
        <v>298</v>
      </c>
      <c r="V42" s="209"/>
      <c r="W42" s="205" t="s">
        <v>179</v>
      </c>
      <c r="X42" s="209"/>
      <c r="Y42" s="209"/>
      <c r="Z42" s="209"/>
      <c r="AA42" s="196"/>
      <c r="AB42" s="192">
        <v>44756</v>
      </c>
      <c r="AC42" s="192"/>
      <c r="AD42" s="192"/>
      <c r="AE42" s="192"/>
      <c r="AF42" s="209"/>
      <c r="AG42" s="209"/>
      <c r="AH42" s="209"/>
      <c r="AI42" s="193"/>
      <c r="AJ42" s="193"/>
      <c r="AK42" s="193"/>
      <c r="AL42" s="193"/>
      <c r="AM42" s="193"/>
      <c r="AN42" s="193"/>
      <c r="AO42" s="193"/>
      <c r="AP42" s="226"/>
      <c r="AQ42" s="209"/>
      <c r="AR42" s="209"/>
      <c r="AS42" s="209"/>
      <c r="AT42" s="209"/>
      <c r="AU42" s="209"/>
      <c r="AV42" s="209"/>
      <c r="AW42" s="209"/>
      <c r="AX42" s="209"/>
      <c r="AY42" s="209"/>
      <c r="AZ42" s="209"/>
      <c r="BA42" s="209"/>
      <c r="BB42" s="209"/>
      <c r="BC42" s="209"/>
      <c r="BD42" s="209"/>
      <c r="BE42" s="209"/>
      <c r="BF42" s="192">
        <v>44786</v>
      </c>
      <c r="BG42" s="209"/>
    </row>
    <row r="43" spans="1:59" s="73" customFormat="1" ht="15.75" hidden="1" customHeight="1" x14ac:dyDescent="0.25">
      <c r="A43" s="193">
        <f>SUBTOTAL(3,$C$5:C43)</f>
        <v>0</v>
      </c>
      <c r="B43" s="301" t="s">
        <v>1160</v>
      </c>
      <c r="C43" s="199" t="s">
        <v>815</v>
      </c>
      <c r="D43" s="199" t="s">
        <v>34</v>
      </c>
      <c r="E43" s="192">
        <v>28082</v>
      </c>
      <c r="F43" s="192"/>
      <c r="G43" s="238" t="s">
        <v>1161</v>
      </c>
      <c r="H43" s="192">
        <v>44077</v>
      </c>
      <c r="I43" s="193" t="s">
        <v>1162</v>
      </c>
      <c r="J43" s="209" t="s">
        <v>1163</v>
      </c>
      <c r="K43" s="209" t="s">
        <v>1164</v>
      </c>
      <c r="L43" s="209">
        <v>13</v>
      </c>
      <c r="M43" s="209" t="s">
        <v>983</v>
      </c>
      <c r="N43" s="199" t="s">
        <v>41</v>
      </c>
      <c r="O43" s="253" t="s">
        <v>1165</v>
      </c>
      <c r="P43" s="253"/>
      <c r="Q43" s="209" t="s">
        <v>1166</v>
      </c>
      <c r="R43" s="209" t="s">
        <v>71</v>
      </c>
      <c r="S43" s="253" t="s">
        <v>1167</v>
      </c>
      <c r="T43" s="253"/>
      <c r="U43" s="209" t="s">
        <v>103</v>
      </c>
      <c r="V43" s="209"/>
      <c r="W43" s="209" t="s">
        <v>1168</v>
      </c>
      <c r="X43" s="209" t="s">
        <v>91</v>
      </c>
      <c r="Y43" s="209" t="s">
        <v>1169</v>
      </c>
      <c r="Z43" s="209"/>
      <c r="AA43" s="196"/>
      <c r="AB43" s="192">
        <v>44551</v>
      </c>
      <c r="AC43" s="192"/>
      <c r="AD43" s="192"/>
      <c r="AE43" s="192"/>
      <c r="AF43" s="209"/>
      <c r="AG43" s="209"/>
      <c r="AH43" s="209"/>
      <c r="AI43" s="193"/>
      <c r="AJ43" s="193"/>
      <c r="AK43" s="193"/>
      <c r="AL43" s="193"/>
      <c r="AM43" s="193"/>
      <c r="AN43" s="193"/>
      <c r="AO43" s="193"/>
      <c r="AP43" s="226"/>
      <c r="AQ43" s="209"/>
      <c r="AR43" s="209"/>
      <c r="AS43" s="209"/>
      <c r="AT43" s="209"/>
      <c r="AU43" s="209"/>
      <c r="AV43" s="209"/>
      <c r="AW43" s="209"/>
      <c r="AX43" s="209"/>
      <c r="AY43" s="209"/>
      <c r="AZ43" s="209"/>
      <c r="BA43" s="209"/>
      <c r="BB43" s="209"/>
      <c r="BC43" s="209"/>
      <c r="BD43" s="209"/>
      <c r="BE43" s="209"/>
      <c r="BF43" s="192">
        <v>44582</v>
      </c>
      <c r="BG43" s="209"/>
    </row>
    <row r="44" spans="1:59" s="73" customFormat="1" ht="15.75" hidden="1" customHeight="1" x14ac:dyDescent="0.25">
      <c r="A44" s="193">
        <f>SUBTOTAL(3,$C$5:C44)</f>
        <v>0</v>
      </c>
      <c r="B44" s="301" t="s">
        <v>1170</v>
      </c>
      <c r="C44" s="209" t="s">
        <v>853</v>
      </c>
      <c r="D44" s="242" t="s">
        <v>34</v>
      </c>
      <c r="E44" s="310" t="s">
        <v>1171</v>
      </c>
      <c r="F44" s="310"/>
      <c r="G44" s="245" t="s">
        <v>1172</v>
      </c>
      <c r="H44" s="310" t="s">
        <v>97</v>
      </c>
      <c r="I44" s="247" t="s">
        <v>37</v>
      </c>
      <c r="J44" s="209" t="s">
        <v>1173</v>
      </c>
      <c r="K44" s="242"/>
      <c r="L44" s="242" t="s">
        <v>1174</v>
      </c>
      <c r="M44" s="242" t="s">
        <v>983</v>
      </c>
      <c r="N44" s="242" t="s">
        <v>1175</v>
      </c>
      <c r="O44" s="244" t="s">
        <v>1176</v>
      </c>
      <c r="P44" s="244"/>
      <c r="Q44" s="242"/>
      <c r="R44" s="242" t="s">
        <v>71</v>
      </c>
      <c r="S44" s="244" t="s">
        <v>1177</v>
      </c>
      <c r="T44" s="244"/>
      <c r="U44" s="242" t="s">
        <v>103</v>
      </c>
      <c r="V44" s="242"/>
      <c r="W44" s="242" t="s">
        <v>1168</v>
      </c>
      <c r="X44" s="242" t="s">
        <v>1178</v>
      </c>
      <c r="Y44" s="242" t="s">
        <v>1179</v>
      </c>
      <c r="Z44" s="242"/>
      <c r="AA44" s="246" t="s">
        <v>1180</v>
      </c>
      <c r="AB44" s="248">
        <v>44825</v>
      </c>
      <c r="AC44" s="248"/>
      <c r="AD44" s="248"/>
      <c r="AE44" s="248"/>
      <c r="AF44" s="209"/>
      <c r="AG44" s="209"/>
      <c r="AH44" s="209"/>
      <c r="AI44" s="193"/>
      <c r="AJ44" s="193"/>
      <c r="AK44" s="193"/>
      <c r="AL44" s="193"/>
      <c r="AM44" s="193"/>
      <c r="AN44" s="193"/>
      <c r="AO44" s="193"/>
      <c r="AP44" s="242"/>
      <c r="AQ44" s="209"/>
      <c r="AR44" s="209"/>
      <c r="AS44" s="209"/>
      <c r="AT44" s="209"/>
      <c r="AU44" s="209"/>
      <c r="AV44" s="209"/>
      <c r="AW44" s="209"/>
      <c r="AX44" s="209"/>
      <c r="AY44" s="209"/>
      <c r="AZ44" s="209"/>
      <c r="BA44" s="209"/>
      <c r="BB44" s="209"/>
      <c r="BC44" s="209"/>
      <c r="BD44" s="209"/>
      <c r="BE44" s="209"/>
      <c r="BF44" s="192">
        <v>44886</v>
      </c>
      <c r="BG44" s="209"/>
    </row>
    <row r="45" spans="1:59" s="73" customFormat="1" ht="15.75" hidden="1" customHeight="1" x14ac:dyDescent="0.25">
      <c r="A45" s="193">
        <f>SUBTOTAL(3,$C$5:C45)</f>
        <v>0</v>
      </c>
      <c r="B45" s="301" t="s">
        <v>1181</v>
      </c>
      <c r="C45" s="209" t="s">
        <v>846</v>
      </c>
      <c r="D45" s="242" t="s">
        <v>34</v>
      </c>
      <c r="E45" s="248">
        <v>34728</v>
      </c>
      <c r="F45" s="248"/>
      <c r="G45" s="191" t="s">
        <v>1182</v>
      </c>
      <c r="H45" s="185" t="s">
        <v>64</v>
      </c>
      <c r="I45" s="305" t="s">
        <v>37</v>
      </c>
      <c r="J45" s="242" t="s">
        <v>1183</v>
      </c>
      <c r="K45" s="242" t="s">
        <v>1184</v>
      </c>
      <c r="L45" s="242" t="s">
        <v>1185</v>
      </c>
      <c r="M45" s="242" t="s">
        <v>1186</v>
      </c>
      <c r="N45" s="242" t="s">
        <v>1186</v>
      </c>
      <c r="O45" s="244" t="s">
        <v>1187</v>
      </c>
      <c r="P45" s="244"/>
      <c r="Q45" s="244"/>
      <c r="R45" s="242" t="s">
        <v>478</v>
      </c>
      <c r="S45" s="244" t="s">
        <v>1188</v>
      </c>
      <c r="T45" s="244"/>
      <c r="U45" s="209" t="s">
        <v>1070</v>
      </c>
      <c r="V45" s="209"/>
      <c r="W45" s="205" t="s">
        <v>179</v>
      </c>
      <c r="X45" s="209" t="s">
        <v>168</v>
      </c>
      <c r="Y45" s="242" t="s">
        <v>585</v>
      </c>
      <c r="Z45" s="242"/>
      <c r="AA45" s="311" t="s">
        <v>1190</v>
      </c>
      <c r="AB45" s="248">
        <v>44768</v>
      </c>
      <c r="AC45" s="248">
        <v>44830</v>
      </c>
      <c r="AD45" s="248">
        <v>44830</v>
      </c>
      <c r="AE45" s="248"/>
      <c r="AF45" s="209"/>
      <c r="AG45" s="209"/>
      <c r="AH45" s="209"/>
      <c r="AI45" s="193"/>
      <c r="AJ45" s="193"/>
      <c r="AK45" s="193"/>
      <c r="AL45" s="193"/>
      <c r="AM45" s="193"/>
      <c r="AN45" s="193"/>
      <c r="AO45" s="193"/>
      <c r="AP45" s="244" t="s">
        <v>1189</v>
      </c>
      <c r="AQ45" s="209"/>
      <c r="AR45" s="209"/>
      <c r="AS45" s="209"/>
      <c r="AT45" s="209"/>
      <c r="AU45" s="190"/>
      <c r="AV45" s="190"/>
      <c r="AW45" s="190"/>
      <c r="AX45" s="190"/>
      <c r="AY45" s="190"/>
      <c r="AZ45" s="190"/>
      <c r="BA45" s="190"/>
      <c r="BB45" s="190"/>
      <c r="BC45" s="190"/>
      <c r="BD45" s="190"/>
      <c r="BE45" s="190"/>
      <c r="BF45" s="239">
        <v>44957</v>
      </c>
      <c r="BG45" s="209"/>
    </row>
    <row r="46" spans="1:59" s="73" customFormat="1" ht="13.2" hidden="1" x14ac:dyDescent="0.25">
      <c r="A46" s="193">
        <f>SUBTOTAL(3,$C$5:C46)</f>
        <v>0</v>
      </c>
      <c r="B46" s="301"/>
      <c r="C46" s="199" t="s">
        <v>139</v>
      </c>
      <c r="D46" s="199" t="s">
        <v>78</v>
      </c>
      <c r="E46" s="206">
        <v>31770</v>
      </c>
      <c r="F46" s="206"/>
      <c r="G46" s="191" t="s">
        <v>1191</v>
      </c>
      <c r="H46" s="185" t="s">
        <v>1192</v>
      </c>
      <c r="I46" s="305" t="s">
        <v>37</v>
      </c>
      <c r="J46" s="199" t="s">
        <v>1193</v>
      </c>
      <c r="K46" s="199" t="s">
        <v>1194</v>
      </c>
      <c r="L46" s="199" t="s">
        <v>603</v>
      </c>
      <c r="M46" s="199" t="s">
        <v>52</v>
      </c>
      <c r="N46" s="199" t="s">
        <v>41</v>
      </c>
      <c r="O46" s="201" t="s">
        <v>1195</v>
      </c>
      <c r="P46" s="201"/>
      <c r="Q46" s="202"/>
      <c r="R46" s="202" t="s">
        <v>220</v>
      </c>
      <c r="S46" s="201" t="s">
        <v>1196</v>
      </c>
      <c r="T46" s="201"/>
      <c r="U46" s="199" t="s">
        <v>1198</v>
      </c>
      <c r="V46" s="199"/>
      <c r="W46" s="209" t="s">
        <v>1783</v>
      </c>
      <c r="X46" s="199" t="s">
        <v>46</v>
      </c>
      <c r="Y46" s="199" t="s">
        <v>55</v>
      </c>
      <c r="Z46" s="199"/>
      <c r="AA46" s="205" t="s">
        <v>1199</v>
      </c>
      <c r="AB46" s="191">
        <v>44180</v>
      </c>
      <c r="AC46" s="206">
        <v>44180</v>
      </c>
      <c r="AD46" s="206">
        <v>44501</v>
      </c>
      <c r="AE46" s="206"/>
      <c r="AF46" s="209"/>
      <c r="AG46" s="312"/>
      <c r="AH46" s="312"/>
      <c r="AI46" s="193"/>
      <c r="AJ46" s="193"/>
      <c r="AK46" s="193"/>
      <c r="AL46" s="193"/>
      <c r="AM46" s="193"/>
      <c r="AN46" s="193"/>
      <c r="AO46" s="193"/>
      <c r="AP46" s="227" t="s">
        <v>1197</v>
      </c>
      <c r="AQ46" s="312"/>
      <c r="AR46" s="312"/>
      <c r="AS46" s="209"/>
      <c r="AT46" s="209"/>
      <c r="AU46" s="209"/>
      <c r="AV46" s="209"/>
      <c r="AW46" s="209"/>
      <c r="AX46" s="209"/>
      <c r="AY46" s="209"/>
      <c r="AZ46" s="209"/>
      <c r="BA46" s="209"/>
      <c r="BB46" s="209"/>
      <c r="BC46" s="209"/>
      <c r="BD46" s="209"/>
      <c r="BE46" s="209"/>
      <c r="BF46" s="192">
        <v>44958</v>
      </c>
      <c r="BG46" s="209"/>
    </row>
    <row r="47" spans="1:59" s="73" customFormat="1" ht="15.75" hidden="1" customHeight="1" x14ac:dyDescent="0.25">
      <c r="A47" s="193">
        <f>SUBTOTAL(3,$C$5:C47)</f>
        <v>0</v>
      </c>
      <c r="B47" s="301" t="s">
        <v>1200</v>
      </c>
      <c r="C47" s="242" t="s">
        <v>866</v>
      </c>
      <c r="D47" s="242" t="s">
        <v>34</v>
      </c>
      <c r="E47" s="248">
        <v>31439</v>
      </c>
      <c r="F47" s="248"/>
      <c r="G47" s="245"/>
      <c r="H47" s="248"/>
      <c r="I47" s="305"/>
      <c r="J47" s="242"/>
      <c r="K47" s="242"/>
      <c r="L47" s="242"/>
      <c r="M47" s="209"/>
      <c r="N47" s="209"/>
      <c r="O47" s="244"/>
      <c r="P47" s="244"/>
      <c r="Q47" s="242"/>
      <c r="R47" s="242"/>
      <c r="S47" s="245"/>
      <c r="T47" s="245"/>
      <c r="U47" s="242"/>
      <c r="V47" s="242"/>
      <c r="W47" s="242"/>
      <c r="X47" s="242"/>
      <c r="Y47" s="242"/>
      <c r="Z47" s="242"/>
      <c r="AA47" s="313"/>
      <c r="AB47" s="192">
        <v>45019</v>
      </c>
      <c r="AC47" s="192">
        <v>45080</v>
      </c>
      <c r="AD47" s="192"/>
      <c r="AE47" s="192"/>
      <c r="AF47" s="209"/>
      <c r="AG47" s="209"/>
      <c r="AH47" s="209"/>
      <c r="AI47" s="193"/>
      <c r="AJ47" s="193"/>
      <c r="AK47" s="193"/>
      <c r="AL47" s="193"/>
      <c r="AM47" s="193"/>
      <c r="AN47" s="193"/>
      <c r="AO47" s="193"/>
      <c r="AP47" s="247"/>
      <c r="AQ47" s="209"/>
      <c r="AR47" s="209"/>
      <c r="AS47" s="209"/>
      <c r="AT47" s="209"/>
      <c r="AU47" s="209"/>
      <c r="AV47" s="209"/>
      <c r="AW47" s="209"/>
      <c r="AX47" s="209"/>
      <c r="AY47" s="209"/>
      <c r="AZ47" s="209"/>
      <c r="BA47" s="209"/>
      <c r="BB47" s="209"/>
      <c r="BC47" s="209"/>
      <c r="BD47" s="209"/>
      <c r="BE47" s="209"/>
      <c r="BF47" s="192">
        <v>45087</v>
      </c>
      <c r="BG47" s="209"/>
    </row>
    <row r="48" spans="1:59" s="73" customFormat="1" ht="15.75" hidden="1" customHeight="1" x14ac:dyDescent="0.25">
      <c r="A48" s="193">
        <f>SUBTOTAL(3,$C$5:C48)</f>
        <v>0</v>
      </c>
      <c r="B48" s="301" t="s">
        <v>1201</v>
      </c>
      <c r="C48" s="242" t="s">
        <v>863</v>
      </c>
      <c r="D48" s="242" t="s">
        <v>78</v>
      </c>
      <c r="E48" s="248">
        <v>32184</v>
      </c>
      <c r="F48" s="248"/>
      <c r="G48" s="245" t="s">
        <v>1202</v>
      </c>
      <c r="H48" s="248">
        <v>44315</v>
      </c>
      <c r="I48" s="305" t="s">
        <v>37</v>
      </c>
      <c r="J48" s="242" t="s">
        <v>1203</v>
      </c>
      <c r="K48" s="242" t="s">
        <v>1204</v>
      </c>
      <c r="L48" s="242" t="s">
        <v>1205</v>
      </c>
      <c r="M48" s="209"/>
      <c r="N48" s="209" t="s">
        <v>417</v>
      </c>
      <c r="O48" s="244" t="s">
        <v>1206</v>
      </c>
      <c r="P48" s="244"/>
      <c r="Q48" s="242" t="s">
        <v>1207</v>
      </c>
      <c r="R48" s="242" t="s">
        <v>162</v>
      </c>
      <c r="S48" s="245" t="s">
        <v>1208</v>
      </c>
      <c r="T48" s="245"/>
      <c r="U48" s="242" t="s">
        <v>864</v>
      </c>
      <c r="V48" s="242"/>
      <c r="W48" s="209" t="s">
        <v>1783</v>
      </c>
      <c r="X48" s="242" t="s">
        <v>46</v>
      </c>
      <c r="Y48" s="242" t="s">
        <v>1209</v>
      </c>
      <c r="Z48" s="242"/>
      <c r="AA48" s="246" t="s">
        <v>1210</v>
      </c>
      <c r="AB48" s="248">
        <v>44956</v>
      </c>
      <c r="AC48" s="192">
        <v>45017</v>
      </c>
      <c r="AD48" s="192"/>
      <c r="AE48" s="192"/>
      <c r="AF48" s="209"/>
      <c r="AG48" s="209"/>
      <c r="AH48" s="209"/>
      <c r="AI48" s="193"/>
      <c r="AJ48" s="193"/>
      <c r="AK48" s="193"/>
      <c r="AL48" s="193"/>
      <c r="AM48" s="193"/>
      <c r="AN48" s="193"/>
      <c r="AO48" s="193"/>
      <c r="AP48" s="247"/>
      <c r="AQ48" s="209"/>
      <c r="AR48" s="209"/>
      <c r="AS48" s="209"/>
      <c r="AT48" s="209"/>
      <c r="AU48" s="209"/>
      <c r="AV48" s="209"/>
      <c r="AW48" s="209"/>
      <c r="AX48" s="209"/>
      <c r="AY48" s="209"/>
      <c r="AZ48" s="209"/>
      <c r="BA48" s="209"/>
      <c r="BB48" s="209"/>
      <c r="BC48" s="209"/>
      <c r="BD48" s="209"/>
      <c r="BE48" s="209"/>
      <c r="BF48" s="192">
        <v>45110</v>
      </c>
      <c r="BG48" s="209"/>
    </row>
    <row r="49" spans="1:59" s="73" customFormat="1" ht="15.75" hidden="1" customHeight="1" x14ac:dyDescent="0.25">
      <c r="A49" s="193">
        <f>SUBTOTAL(3,$C$5:C49)</f>
        <v>0</v>
      </c>
      <c r="B49" s="301" t="s">
        <v>1211</v>
      </c>
      <c r="C49" s="242" t="s">
        <v>872</v>
      </c>
      <c r="D49" s="242" t="s">
        <v>34</v>
      </c>
      <c r="E49" s="248">
        <v>37079</v>
      </c>
      <c r="F49" s="248"/>
      <c r="G49" s="245" t="s">
        <v>1212</v>
      </c>
      <c r="H49" s="248">
        <v>44310</v>
      </c>
      <c r="I49" s="305" t="s">
        <v>37</v>
      </c>
      <c r="J49" s="242" t="s">
        <v>1213</v>
      </c>
      <c r="K49" s="242" t="s">
        <v>1214</v>
      </c>
      <c r="L49" s="242" t="s">
        <v>1215</v>
      </c>
      <c r="M49" s="209">
        <v>12</v>
      </c>
      <c r="N49" s="209" t="s">
        <v>41</v>
      </c>
      <c r="O49" s="244" t="s">
        <v>1216</v>
      </c>
      <c r="P49" s="244"/>
      <c r="Q49" s="242" t="s">
        <v>410</v>
      </c>
      <c r="R49" s="242" t="s">
        <v>1217</v>
      </c>
      <c r="S49" s="245" t="s">
        <v>418</v>
      </c>
      <c r="T49" s="245"/>
      <c r="U49" s="242" t="s">
        <v>1070</v>
      </c>
      <c r="V49" s="242"/>
      <c r="W49" s="205" t="s">
        <v>179</v>
      </c>
      <c r="X49" s="242" t="s">
        <v>286</v>
      </c>
      <c r="Y49" s="242" t="s">
        <v>140</v>
      </c>
      <c r="Z49" s="242"/>
      <c r="AA49" s="246"/>
      <c r="AB49" s="248">
        <v>45041</v>
      </c>
      <c r="AC49" s="248">
        <v>45102</v>
      </c>
      <c r="AD49" s="248"/>
      <c r="AE49" s="248"/>
      <c r="AF49" s="209"/>
      <c r="AG49" s="209"/>
      <c r="AH49" s="209"/>
      <c r="AI49" s="193"/>
      <c r="AJ49" s="193"/>
      <c r="AK49" s="193"/>
      <c r="AL49" s="193"/>
      <c r="AM49" s="193"/>
      <c r="AN49" s="193"/>
      <c r="AO49" s="193"/>
      <c r="AP49" s="247"/>
      <c r="AQ49" s="209"/>
      <c r="AR49" s="209"/>
      <c r="AS49" s="209"/>
      <c r="AT49" s="209"/>
      <c r="AU49" s="209"/>
      <c r="AV49" s="209"/>
      <c r="AW49" s="209"/>
      <c r="AX49" s="209"/>
      <c r="AY49" s="209"/>
      <c r="AZ49" s="209"/>
      <c r="BA49" s="209"/>
      <c r="BB49" s="209"/>
      <c r="BC49" s="209"/>
      <c r="BD49" s="209"/>
      <c r="BE49" s="209"/>
      <c r="BF49" s="192">
        <v>45143</v>
      </c>
      <c r="BG49" s="209"/>
    </row>
    <row r="50" spans="1:59" s="73" customFormat="1" ht="15.75" hidden="1" customHeight="1" x14ac:dyDescent="0.25">
      <c r="A50" s="193">
        <f>SUBTOTAL(3,$C$5:C50)</f>
        <v>0</v>
      </c>
      <c r="B50" s="301" t="s">
        <v>1218</v>
      </c>
      <c r="C50" s="209" t="s">
        <v>824</v>
      </c>
      <c r="D50" s="209" t="s">
        <v>34</v>
      </c>
      <c r="E50" s="192">
        <v>34502</v>
      </c>
      <c r="F50" s="192"/>
      <c r="G50" s="279" t="s">
        <v>1219</v>
      </c>
      <c r="H50" s="185" t="s">
        <v>1220</v>
      </c>
      <c r="I50" s="305" t="s">
        <v>37</v>
      </c>
      <c r="J50" s="209" t="s">
        <v>1221</v>
      </c>
      <c r="K50" s="209" t="s">
        <v>1222</v>
      </c>
      <c r="L50" s="209" t="s">
        <v>1223</v>
      </c>
      <c r="M50" s="209" t="s">
        <v>1224</v>
      </c>
      <c r="N50" s="209" t="s">
        <v>417</v>
      </c>
      <c r="O50" s="226" t="s">
        <v>1225</v>
      </c>
      <c r="P50" s="226"/>
      <c r="Q50" s="209" t="s">
        <v>1226</v>
      </c>
      <c r="R50" s="209" t="s">
        <v>1227</v>
      </c>
      <c r="S50" s="203" t="s">
        <v>1228</v>
      </c>
      <c r="T50" s="203"/>
      <c r="U50" s="199" t="s">
        <v>1070</v>
      </c>
      <c r="V50" s="199"/>
      <c r="W50" s="205" t="s">
        <v>179</v>
      </c>
      <c r="X50" s="209" t="s">
        <v>1229</v>
      </c>
      <c r="Y50" s="209" t="s">
        <v>1141</v>
      </c>
      <c r="Z50" s="209"/>
      <c r="AA50" s="196"/>
      <c r="AB50" s="192">
        <v>44627</v>
      </c>
      <c r="AC50" s="192">
        <v>44688</v>
      </c>
      <c r="AD50" s="192"/>
      <c r="AE50" s="192"/>
      <c r="AF50" s="209"/>
      <c r="AG50" s="209"/>
      <c r="AH50" s="209"/>
      <c r="AI50" s="193"/>
      <c r="AJ50" s="193"/>
      <c r="AK50" s="193"/>
      <c r="AL50" s="193"/>
      <c r="AM50" s="193"/>
      <c r="AN50" s="193"/>
      <c r="AO50" s="193"/>
      <c r="AP50" s="203"/>
      <c r="AQ50" s="209"/>
      <c r="AR50" s="209"/>
      <c r="AS50" s="209"/>
      <c r="AT50" s="209"/>
      <c r="AU50" s="209"/>
      <c r="AV50" s="209"/>
      <c r="AW50" s="209"/>
      <c r="AX50" s="209"/>
      <c r="AY50" s="209"/>
      <c r="AZ50" s="209"/>
      <c r="BA50" s="209"/>
      <c r="BB50" s="209"/>
      <c r="BC50" s="209"/>
      <c r="BD50" s="209"/>
      <c r="BE50" s="209"/>
      <c r="BF50" s="192">
        <v>45170</v>
      </c>
      <c r="BG50" s="209"/>
    </row>
    <row r="51" spans="1:59" s="73" customFormat="1" ht="15.75" hidden="1" customHeight="1" x14ac:dyDescent="0.25">
      <c r="A51" s="193">
        <f>SUBTOTAL(3,$C$5:C51)</f>
        <v>0</v>
      </c>
      <c r="B51" s="301" t="s">
        <v>1230</v>
      </c>
      <c r="C51" s="242" t="s">
        <v>895</v>
      </c>
      <c r="D51" s="242" t="s">
        <v>34</v>
      </c>
      <c r="E51" s="192">
        <v>33301</v>
      </c>
      <c r="F51" s="192"/>
      <c r="G51" s="257"/>
      <c r="H51" s="191"/>
      <c r="I51" s="203"/>
      <c r="J51" s="209"/>
      <c r="K51" s="209"/>
      <c r="L51" s="209"/>
      <c r="M51" s="209"/>
      <c r="N51" s="209"/>
      <c r="O51" s="240"/>
      <c r="P51" s="240"/>
      <c r="Q51" s="209"/>
      <c r="R51" s="209"/>
      <c r="S51" s="203"/>
      <c r="T51" s="203"/>
      <c r="U51" s="209" t="s">
        <v>1070</v>
      </c>
      <c r="V51" s="209"/>
      <c r="W51" s="205" t="s">
        <v>179</v>
      </c>
      <c r="X51" s="209" t="s">
        <v>646</v>
      </c>
      <c r="Y51" s="209"/>
      <c r="Z51" s="209"/>
      <c r="AA51" s="196"/>
      <c r="AB51" s="192">
        <v>45173</v>
      </c>
      <c r="AC51" s="192">
        <v>45234</v>
      </c>
      <c r="AD51" s="192"/>
      <c r="AE51" s="192"/>
      <c r="AF51" s="209"/>
      <c r="AG51" s="209"/>
      <c r="AH51" s="209"/>
      <c r="AI51" s="193"/>
      <c r="AJ51" s="193"/>
      <c r="AK51" s="193"/>
      <c r="AL51" s="193"/>
      <c r="AM51" s="193"/>
      <c r="AN51" s="193"/>
      <c r="AO51" s="193"/>
      <c r="AP51" s="203"/>
      <c r="AQ51" s="209"/>
      <c r="AR51" s="209"/>
      <c r="AS51" s="209"/>
      <c r="AT51" s="209"/>
      <c r="AU51" s="209"/>
      <c r="AV51" s="209"/>
      <c r="AW51" s="209"/>
      <c r="AX51" s="209"/>
      <c r="AY51" s="209"/>
      <c r="AZ51" s="209"/>
      <c r="BA51" s="209"/>
      <c r="BB51" s="209"/>
      <c r="BC51" s="209"/>
      <c r="BD51" s="209"/>
      <c r="BE51" s="209"/>
      <c r="BF51" s="192">
        <v>45214</v>
      </c>
      <c r="BG51" s="209"/>
    </row>
    <row r="52" spans="1:59" s="73" customFormat="1" ht="15.75" hidden="1" customHeight="1" x14ac:dyDescent="0.25">
      <c r="A52" s="193">
        <f>SUBTOTAL(3,$C$5:C52)</f>
        <v>0</v>
      </c>
      <c r="B52" s="301" t="s">
        <v>1231</v>
      </c>
      <c r="C52" s="242" t="s">
        <v>897</v>
      </c>
      <c r="D52" s="242" t="s">
        <v>34</v>
      </c>
      <c r="E52" s="192">
        <v>33197</v>
      </c>
      <c r="F52" s="192"/>
      <c r="G52" s="257" t="s">
        <v>1232</v>
      </c>
      <c r="H52" s="191">
        <v>44656</v>
      </c>
      <c r="I52" s="203" t="s">
        <v>37</v>
      </c>
      <c r="J52" s="209" t="s">
        <v>1233</v>
      </c>
      <c r="K52" s="209"/>
      <c r="L52" s="209"/>
      <c r="M52" s="209"/>
      <c r="N52" s="209"/>
      <c r="O52" s="240" t="s">
        <v>1234</v>
      </c>
      <c r="P52" s="240"/>
      <c r="Q52" s="209"/>
      <c r="R52" s="209"/>
      <c r="S52" s="203"/>
      <c r="T52" s="203"/>
      <c r="U52" s="209" t="s">
        <v>1070</v>
      </c>
      <c r="V52" s="209"/>
      <c r="W52" s="205" t="s">
        <v>179</v>
      </c>
      <c r="X52" s="209" t="s">
        <v>646</v>
      </c>
      <c r="Y52" s="209"/>
      <c r="Z52" s="209"/>
      <c r="AA52" s="196"/>
      <c r="AB52" s="192"/>
      <c r="AC52" s="192"/>
      <c r="AD52" s="192"/>
      <c r="AE52" s="192"/>
      <c r="AF52" s="209"/>
      <c r="AG52" s="209"/>
      <c r="AH52" s="209"/>
      <c r="AI52" s="193"/>
      <c r="AJ52" s="193"/>
      <c r="AK52" s="193"/>
      <c r="AL52" s="193"/>
      <c r="AM52" s="193"/>
      <c r="AN52" s="193"/>
      <c r="AO52" s="193"/>
      <c r="AP52" s="203"/>
      <c r="AQ52" s="209"/>
      <c r="AR52" s="209"/>
      <c r="AS52" s="209"/>
      <c r="AT52" s="209"/>
      <c r="AU52" s="209"/>
      <c r="AV52" s="209"/>
      <c r="AW52" s="209"/>
      <c r="AX52" s="209"/>
      <c r="AY52" s="209"/>
      <c r="AZ52" s="209"/>
      <c r="BA52" s="209"/>
      <c r="BB52" s="209"/>
      <c r="BC52" s="209"/>
      <c r="BD52" s="209"/>
      <c r="BE52" s="209"/>
      <c r="BF52" s="192">
        <v>45231</v>
      </c>
      <c r="BG52" s="209"/>
    </row>
    <row r="53" spans="1:59" s="73" customFormat="1" ht="15.75" hidden="1" customHeight="1" x14ac:dyDescent="0.25">
      <c r="A53" s="193">
        <f>SUBTOTAL(3,$C$5:C53)</f>
        <v>0</v>
      </c>
      <c r="B53" s="301" t="s">
        <v>1235</v>
      </c>
      <c r="C53" s="242" t="s">
        <v>887</v>
      </c>
      <c r="D53" s="242" t="s">
        <v>34</v>
      </c>
      <c r="E53" s="192">
        <v>35344</v>
      </c>
      <c r="F53" s="192"/>
      <c r="G53" s="257" t="s">
        <v>1236</v>
      </c>
      <c r="H53" s="191">
        <v>44782</v>
      </c>
      <c r="I53" s="203" t="s">
        <v>37</v>
      </c>
      <c r="J53" s="226" t="s">
        <v>1237</v>
      </c>
      <c r="K53" s="256" t="s">
        <v>1238</v>
      </c>
      <c r="L53" s="209" t="s">
        <v>1239</v>
      </c>
      <c r="M53" s="209" t="s">
        <v>1240</v>
      </c>
      <c r="N53" s="209" t="s">
        <v>1241</v>
      </c>
      <c r="O53" s="253" t="s">
        <v>1242</v>
      </c>
      <c r="P53" s="253"/>
      <c r="Q53" s="209" t="s">
        <v>1243</v>
      </c>
      <c r="R53" s="226" t="s">
        <v>1244</v>
      </c>
      <c r="S53" s="257" t="s">
        <v>1245</v>
      </c>
      <c r="T53" s="257"/>
      <c r="U53" s="226" t="s">
        <v>1070</v>
      </c>
      <c r="V53" s="226"/>
      <c r="W53" s="205" t="s">
        <v>179</v>
      </c>
      <c r="X53" s="196" t="s">
        <v>286</v>
      </c>
      <c r="Y53" s="196" t="s">
        <v>140</v>
      </c>
      <c r="Z53" s="196"/>
      <c r="AA53" s="196" t="s">
        <v>1246</v>
      </c>
      <c r="AB53" s="192">
        <v>45138</v>
      </c>
      <c r="AC53" s="192">
        <v>45170</v>
      </c>
      <c r="AD53" s="192"/>
      <c r="AE53" s="192"/>
      <c r="AF53" s="209"/>
      <c r="AG53" s="209"/>
      <c r="AH53" s="209"/>
      <c r="AI53" s="193"/>
      <c r="AJ53" s="193"/>
      <c r="AK53" s="193"/>
      <c r="AL53" s="193"/>
      <c r="AM53" s="193"/>
      <c r="AN53" s="193"/>
      <c r="AO53" s="193"/>
      <c r="AP53" s="209"/>
      <c r="AQ53" s="209"/>
      <c r="AR53" s="209"/>
      <c r="AS53" s="209"/>
      <c r="AT53" s="209"/>
      <c r="AU53" s="209"/>
      <c r="AV53" s="209"/>
      <c r="AW53" s="209"/>
      <c r="AX53" s="209"/>
      <c r="AY53" s="209"/>
      <c r="AZ53" s="209"/>
      <c r="BA53" s="209"/>
      <c r="BB53" s="209"/>
      <c r="BC53" s="209"/>
      <c r="BD53" s="209"/>
      <c r="BE53" s="209"/>
      <c r="BF53" s="192">
        <v>45238</v>
      </c>
      <c r="BG53" s="209"/>
    </row>
    <row r="54" spans="1:59" s="73" customFormat="1" ht="13.2" hidden="1" x14ac:dyDescent="0.25">
      <c r="A54" s="193">
        <f>SUBTOTAL(3,$C$5:C54)</f>
        <v>0</v>
      </c>
      <c r="B54" s="301" t="s">
        <v>1143</v>
      </c>
      <c r="C54" s="199" t="s">
        <v>860</v>
      </c>
      <c r="D54" s="199" t="s">
        <v>34</v>
      </c>
      <c r="E54" s="206">
        <v>32145</v>
      </c>
      <c r="F54" s="206"/>
      <c r="G54" s="207" t="s">
        <v>1247</v>
      </c>
      <c r="H54" s="185">
        <v>44873</v>
      </c>
      <c r="I54" s="305" t="s">
        <v>37</v>
      </c>
      <c r="J54" s="199" t="s">
        <v>1248</v>
      </c>
      <c r="K54" s="199" t="s">
        <v>1249</v>
      </c>
      <c r="L54" s="199" t="s">
        <v>51</v>
      </c>
      <c r="M54" s="199" t="s">
        <v>52</v>
      </c>
      <c r="N54" s="199" t="s">
        <v>41</v>
      </c>
      <c r="O54" s="201" t="s">
        <v>1250</v>
      </c>
      <c r="P54" s="201"/>
      <c r="Q54" s="202" t="s">
        <v>1251</v>
      </c>
      <c r="R54" s="202" t="s">
        <v>71</v>
      </c>
      <c r="S54" s="211" t="s">
        <v>1252</v>
      </c>
      <c r="T54" s="211"/>
      <c r="U54" s="199" t="s">
        <v>298</v>
      </c>
      <c r="V54" s="199"/>
      <c r="W54" s="205" t="s">
        <v>179</v>
      </c>
      <c r="X54" s="199" t="s">
        <v>62</v>
      </c>
      <c r="Y54" s="199" t="s">
        <v>298</v>
      </c>
      <c r="Z54" s="199"/>
      <c r="AA54" s="205" t="s">
        <v>1253</v>
      </c>
      <c r="AB54" s="191">
        <v>44861</v>
      </c>
      <c r="AC54" s="206">
        <v>44861</v>
      </c>
      <c r="AD54" s="192">
        <v>45047</v>
      </c>
      <c r="AE54" s="192"/>
      <c r="AF54" s="209"/>
      <c r="AG54" s="209"/>
      <c r="AH54" s="209"/>
      <c r="AI54" s="193"/>
      <c r="AJ54" s="193"/>
      <c r="AK54" s="193"/>
      <c r="AL54" s="193"/>
      <c r="AM54" s="193"/>
      <c r="AN54" s="193"/>
      <c r="AO54" s="193"/>
      <c r="AP54" s="211">
        <v>9211018011</v>
      </c>
      <c r="AQ54" s="209"/>
      <c r="AR54" s="209"/>
      <c r="AS54" s="209"/>
      <c r="AT54" s="209"/>
      <c r="AU54" s="209"/>
      <c r="AV54" s="209"/>
      <c r="AW54" s="209"/>
      <c r="AX54" s="209"/>
      <c r="AY54" s="209"/>
      <c r="AZ54" s="209"/>
      <c r="BA54" s="209"/>
      <c r="BB54" s="209"/>
      <c r="BC54" s="209"/>
      <c r="BD54" s="209"/>
      <c r="BE54" s="209"/>
      <c r="BF54" s="192">
        <v>45250</v>
      </c>
      <c r="BG54" s="209" t="s">
        <v>1254</v>
      </c>
    </row>
    <row r="55" spans="1:59" s="73" customFormat="1" ht="15.75" hidden="1" customHeight="1" x14ac:dyDescent="0.25">
      <c r="A55" s="193">
        <f>SUBTOTAL(3,$C$5:C55)</f>
        <v>0</v>
      </c>
      <c r="B55" s="301" t="s">
        <v>1255</v>
      </c>
      <c r="C55" s="209" t="s">
        <v>847</v>
      </c>
      <c r="D55" s="209" t="s">
        <v>34</v>
      </c>
      <c r="E55" s="192">
        <v>32053</v>
      </c>
      <c r="F55" s="192"/>
      <c r="G55" s="238" t="s">
        <v>1256</v>
      </c>
      <c r="H55" s="185">
        <v>44886</v>
      </c>
      <c r="I55" s="305" t="s">
        <v>37</v>
      </c>
      <c r="J55" s="209" t="s">
        <v>1257</v>
      </c>
      <c r="K55" s="209"/>
      <c r="L55" s="209"/>
      <c r="M55" s="209"/>
      <c r="N55" s="209"/>
      <c r="O55" s="240" t="s">
        <v>1258</v>
      </c>
      <c r="P55" s="240"/>
      <c r="Q55" s="209"/>
      <c r="R55" s="209"/>
      <c r="S55" s="203"/>
      <c r="T55" s="203"/>
      <c r="U55" s="209" t="s">
        <v>1070</v>
      </c>
      <c r="V55" s="209"/>
      <c r="W55" s="205" t="s">
        <v>179</v>
      </c>
      <c r="X55" s="209" t="s">
        <v>168</v>
      </c>
      <c r="Y55" s="209" t="s">
        <v>140</v>
      </c>
      <c r="Z55" s="209"/>
      <c r="AA55" s="259" t="s">
        <v>1259</v>
      </c>
      <c r="AB55" s="192">
        <v>44774</v>
      </c>
      <c r="AC55" s="257" t="s">
        <v>1260</v>
      </c>
      <c r="AD55" s="257" t="s">
        <v>1260</v>
      </c>
      <c r="AE55" s="257"/>
      <c r="AF55" s="209"/>
      <c r="AG55" s="209"/>
      <c r="AH55" s="209"/>
      <c r="AI55" s="193"/>
      <c r="AJ55" s="193"/>
      <c r="AK55" s="193"/>
      <c r="AL55" s="193"/>
      <c r="AM55" s="193"/>
      <c r="AN55" s="193"/>
      <c r="AO55" s="193"/>
      <c r="AP55" s="203"/>
      <c r="AQ55" s="209"/>
      <c r="AR55" s="209"/>
      <c r="AS55" s="209"/>
      <c r="AT55" s="209"/>
      <c r="AU55" s="209"/>
      <c r="AV55" s="209"/>
      <c r="AW55" s="209"/>
      <c r="AX55" s="209"/>
      <c r="AY55" s="209"/>
      <c r="AZ55" s="209"/>
      <c r="BA55" s="209"/>
      <c r="BB55" s="209"/>
      <c r="BC55" s="209"/>
      <c r="BD55" s="209"/>
      <c r="BE55" s="209"/>
      <c r="BF55" s="192">
        <v>45231</v>
      </c>
      <c r="BG55" s="209" t="s">
        <v>1261</v>
      </c>
    </row>
    <row r="56" spans="1:59" s="73" customFormat="1" ht="13.2" hidden="1" x14ac:dyDescent="0.25">
      <c r="A56" s="193">
        <f>SUBTOTAL(3,$C$5:C56)</f>
        <v>0</v>
      </c>
      <c r="B56" s="301"/>
      <c r="C56" s="199" t="s">
        <v>91</v>
      </c>
      <c r="D56" s="199" t="s">
        <v>34</v>
      </c>
      <c r="E56" s="206">
        <v>19737</v>
      </c>
      <c r="F56" s="206"/>
      <c r="G56" s="191" t="s">
        <v>1262</v>
      </c>
      <c r="H56" s="185" t="s">
        <v>470</v>
      </c>
      <c r="I56" s="305" t="s">
        <v>37</v>
      </c>
      <c r="J56" s="199" t="s">
        <v>1263</v>
      </c>
      <c r="K56" s="199" t="s">
        <v>1264</v>
      </c>
      <c r="L56" s="199" t="s">
        <v>1265</v>
      </c>
      <c r="M56" s="199" t="s">
        <v>1266</v>
      </c>
      <c r="N56" s="199" t="s">
        <v>41</v>
      </c>
      <c r="O56" s="201" t="s">
        <v>1267</v>
      </c>
      <c r="P56" s="201"/>
      <c r="Q56" s="227" t="s">
        <v>1268</v>
      </c>
      <c r="R56" s="202"/>
      <c r="S56" s="211"/>
      <c r="T56" s="211"/>
      <c r="U56" s="199" t="s">
        <v>1270</v>
      </c>
      <c r="V56" s="199"/>
      <c r="W56" s="205" t="s">
        <v>1168</v>
      </c>
      <c r="X56" s="199" t="s">
        <v>46</v>
      </c>
      <c r="Y56" s="199" t="s">
        <v>74</v>
      </c>
      <c r="Z56" s="199"/>
      <c r="AA56" s="205" t="s">
        <v>1271</v>
      </c>
      <c r="AB56" s="206">
        <v>41806</v>
      </c>
      <c r="AC56" s="206">
        <v>41806</v>
      </c>
      <c r="AD56" s="193"/>
      <c r="AE56" s="193"/>
      <c r="AF56" s="209"/>
      <c r="AG56" s="209"/>
      <c r="AH56" s="209"/>
      <c r="AI56" s="193"/>
      <c r="AJ56" s="193"/>
      <c r="AK56" s="193"/>
      <c r="AL56" s="193"/>
      <c r="AM56" s="193"/>
      <c r="AN56" s="193"/>
      <c r="AO56" s="193"/>
      <c r="AP56" s="211" t="s">
        <v>1269</v>
      </c>
      <c r="AQ56" s="209"/>
      <c r="AR56" s="209"/>
      <c r="AS56" s="209"/>
      <c r="AT56" s="209"/>
      <c r="AU56" s="209"/>
      <c r="AV56" s="209"/>
      <c r="AW56" s="209"/>
      <c r="AX56" s="209"/>
      <c r="AY56" s="209"/>
      <c r="AZ56" s="209"/>
      <c r="BA56" s="209"/>
      <c r="BB56" s="209"/>
      <c r="BC56" s="209"/>
      <c r="BD56" s="209"/>
      <c r="BE56" s="209"/>
      <c r="BF56" s="192">
        <v>45323</v>
      </c>
      <c r="BG56" s="209" t="s">
        <v>1487</v>
      </c>
    </row>
    <row r="57" spans="1:59" s="73" customFormat="1" ht="15.75" hidden="1" customHeight="1" x14ac:dyDescent="0.25">
      <c r="A57" s="193">
        <f>SUBTOTAL(3,$C$5:C57)</f>
        <v>0</v>
      </c>
      <c r="B57" s="301" t="s">
        <v>1272</v>
      </c>
      <c r="C57" s="209" t="s">
        <v>862</v>
      </c>
      <c r="D57" s="209" t="s">
        <v>34</v>
      </c>
      <c r="E57" s="192">
        <v>28864</v>
      </c>
      <c r="F57" s="192"/>
      <c r="G57" s="279" t="s">
        <v>1273</v>
      </c>
      <c r="H57" s="185">
        <v>44379</v>
      </c>
      <c r="I57" s="305" t="s">
        <v>37</v>
      </c>
      <c r="J57" s="209" t="s">
        <v>1274</v>
      </c>
      <c r="K57" s="209" t="s">
        <v>1275</v>
      </c>
      <c r="L57" s="209">
        <v>15</v>
      </c>
      <c r="M57" s="209" t="s">
        <v>68</v>
      </c>
      <c r="N57" s="199" t="s">
        <v>41</v>
      </c>
      <c r="O57" s="240" t="s">
        <v>1276</v>
      </c>
      <c r="P57" s="240"/>
      <c r="Q57" s="209" t="s">
        <v>1277</v>
      </c>
      <c r="R57" s="209" t="s">
        <v>71</v>
      </c>
      <c r="S57" s="238" t="s">
        <v>1278</v>
      </c>
      <c r="T57" s="238"/>
      <c r="U57" s="209" t="s">
        <v>104</v>
      </c>
      <c r="V57" s="209"/>
      <c r="W57" s="246" t="s">
        <v>1168</v>
      </c>
      <c r="X57" s="209" t="s">
        <v>91</v>
      </c>
      <c r="Y57" s="226" t="s">
        <v>1279</v>
      </c>
      <c r="Z57" s="226"/>
      <c r="AA57" s="196"/>
      <c r="AB57" s="192">
        <v>44886</v>
      </c>
      <c r="AC57" s="192">
        <v>44916</v>
      </c>
      <c r="AD57" s="192">
        <v>44916</v>
      </c>
      <c r="AE57" s="192"/>
      <c r="AF57" s="209"/>
      <c r="AG57" s="209"/>
      <c r="AH57" s="209"/>
      <c r="AI57" s="193"/>
      <c r="AJ57" s="193"/>
      <c r="AK57" s="193"/>
      <c r="AL57" s="193"/>
      <c r="AM57" s="193"/>
      <c r="AN57" s="193"/>
      <c r="AO57" s="193"/>
      <c r="AP57" s="203"/>
      <c r="AQ57" s="209"/>
      <c r="AR57" s="209"/>
      <c r="AS57" s="209"/>
      <c r="AT57" s="209"/>
      <c r="AU57" s="209"/>
      <c r="AV57" s="209"/>
      <c r="AW57" s="209"/>
      <c r="AX57" s="209"/>
      <c r="AY57" s="209"/>
      <c r="AZ57" s="209"/>
      <c r="BA57" s="209"/>
      <c r="BB57" s="209"/>
      <c r="BC57" s="209"/>
      <c r="BD57" s="209"/>
      <c r="BE57" s="209"/>
      <c r="BF57" s="192">
        <v>45383</v>
      </c>
      <c r="BG57" s="209" t="s">
        <v>1280</v>
      </c>
    </row>
    <row r="58" spans="1:59" s="73" customFormat="1" ht="15.75" hidden="1" customHeight="1" x14ac:dyDescent="0.25">
      <c r="A58" s="193">
        <f>SUBTOTAL(3,$C$5:C58)</f>
        <v>0</v>
      </c>
      <c r="B58" s="301" t="s">
        <v>1281</v>
      </c>
      <c r="C58" s="242" t="s">
        <v>881</v>
      </c>
      <c r="D58" s="242" t="s">
        <v>34</v>
      </c>
      <c r="E58" s="192">
        <v>31048</v>
      </c>
      <c r="F58" s="192"/>
      <c r="G58" s="257" t="s">
        <v>1282</v>
      </c>
      <c r="H58" s="191">
        <v>44522</v>
      </c>
      <c r="I58" s="305" t="s">
        <v>37</v>
      </c>
      <c r="J58" s="226" t="s">
        <v>1283</v>
      </c>
      <c r="K58" s="256" t="s">
        <v>1284</v>
      </c>
      <c r="L58" s="209" t="s">
        <v>1285</v>
      </c>
      <c r="M58" s="209" t="s">
        <v>68</v>
      </c>
      <c r="N58" s="209" t="s">
        <v>1286</v>
      </c>
      <c r="O58" s="253" t="s">
        <v>1287</v>
      </c>
      <c r="P58" s="253"/>
      <c r="Q58" s="209" t="s">
        <v>1288</v>
      </c>
      <c r="R58" s="226" t="s">
        <v>71</v>
      </c>
      <c r="S58" s="257" t="s">
        <v>1289</v>
      </c>
      <c r="T58" s="257"/>
      <c r="U58" s="226" t="s">
        <v>1290</v>
      </c>
      <c r="V58" s="226"/>
      <c r="W58" s="205" t="s">
        <v>179</v>
      </c>
      <c r="X58" s="209" t="s">
        <v>168</v>
      </c>
      <c r="Y58" s="209" t="s">
        <v>255</v>
      </c>
      <c r="Z58" s="209"/>
      <c r="AA58" s="196" t="s">
        <v>1291</v>
      </c>
      <c r="AB58" s="192">
        <v>45085</v>
      </c>
      <c r="AC58" s="192">
        <v>45146</v>
      </c>
      <c r="AD58" s="192"/>
      <c r="AE58" s="192"/>
      <c r="AF58" s="209"/>
      <c r="AG58" s="209"/>
      <c r="AH58" s="209"/>
      <c r="AI58" s="193"/>
      <c r="AJ58" s="193"/>
      <c r="AK58" s="193"/>
      <c r="AL58" s="193"/>
      <c r="AM58" s="193"/>
      <c r="AN58" s="193"/>
      <c r="AO58" s="193"/>
      <c r="AP58" s="209"/>
      <c r="AQ58" s="209"/>
      <c r="AR58" s="209"/>
      <c r="AS58" s="209"/>
      <c r="AT58" s="209"/>
      <c r="AU58" s="209"/>
      <c r="AV58" s="209"/>
      <c r="AW58" s="209"/>
      <c r="AX58" s="209"/>
      <c r="AY58" s="209"/>
      <c r="AZ58" s="209"/>
      <c r="BA58" s="209"/>
      <c r="BB58" s="209"/>
      <c r="BC58" s="209"/>
      <c r="BD58" s="209"/>
      <c r="BE58" s="209"/>
      <c r="BF58" s="192">
        <v>45323</v>
      </c>
      <c r="BG58" s="209" t="s">
        <v>1292</v>
      </c>
    </row>
    <row r="59" spans="1:59" s="73" customFormat="1" ht="15.75" hidden="1" customHeight="1" x14ac:dyDescent="0.25">
      <c r="A59" s="193">
        <f>SUBTOTAL(3,$C$5:C59)</f>
        <v>0</v>
      </c>
      <c r="B59" s="301" t="s">
        <v>1293</v>
      </c>
      <c r="C59" s="242" t="s">
        <v>889</v>
      </c>
      <c r="D59" s="242" t="s">
        <v>34</v>
      </c>
      <c r="E59" s="192">
        <v>30319</v>
      </c>
      <c r="F59" s="192"/>
      <c r="G59" s="257" t="s">
        <v>1294</v>
      </c>
      <c r="H59" s="191">
        <v>44619</v>
      </c>
      <c r="I59" s="203" t="s">
        <v>37</v>
      </c>
      <c r="J59" s="226" t="s">
        <v>1295</v>
      </c>
      <c r="K59" s="256" t="s">
        <v>1296</v>
      </c>
      <c r="L59" s="209" t="s">
        <v>1297</v>
      </c>
      <c r="M59" s="209" t="s">
        <v>1298</v>
      </c>
      <c r="N59" s="209" t="s">
        <v>1299</v>
      </c>
      <c r="O59" s="253" t="s">
        <v>1300</v>
      </c>
      <c r="P59" s="253"/>
      <c r="Q59" s="209" t="s">
        <v>1301</v>
      </c>
      <c r="R59" s="226" t="s">
        <v>1302</v>
      </c>
      <c r="S59" s="257" t="s">
        <v>1303</v>
      </c>
      <c r="T59" s="257"/>
      <c r="U59" s="226" t="s">
        <v>1304</v>
      </c>
      <c r="V59" s="226"/>
      <c r="W59" s="205" t="s">
        <v>179</v>
      </c>
      <c r="X59" s="196" t="s">
        <v>239</v>
      </c>
      <c r="Y59" s="196" t="s">
        <v>1209</v>
      </c>
      <c r="Z59" s="196"/>
      <c r="AA59" s="196" t="s">
        <v>1305</v>
      </c>
      <c r="AB59" s="192">
        <v>45148</v>
      </c>
      <c r="AC59" s="192">
        <v>45209</v>
      </c>
      <c r="AD59" s="193"/>
      <c r="AE59" s="193"/>
      <c r="AF59" s="209"/>
      <c r="AG59" s="209"/>
      <c r="AH59" s="209"/>
      <c r="AI59" s="193"/>
      <c r="AJ59" s="193"/>
      <c r="AK59" s="193"/>
      <c r="AL59" s="193"/>
      <c r="AM59" s="193"/>
      <c r="AN59" s="193"/>
      <c r="AO59" s="193"/>
      <c r="AP59" s="209"/>
      <c r="AQ59" s="209"/>
      <c r="AR59" s="209"/>
      <c r="AS59" s="209"/>
      <c r="AT59" s="209"/>
      <c r="AU59" s="209"/>
      <c r="AV59" s="209"/>
      <c r="AW59" s="209"/>
      <c r="AX59" s="209"/>
      <c r="AY59" s="209"/>
      <c r="AZ59" s="209"/>
      <c r="BA59" s="209"/>
      <c r="BB59" s="209"/>
      <c r="BC59" s="209"/>
      <c r="BD59" s="209"/>
      <c r="BE59" s="209"/>
      <c r="BF59" s="192">
        <v>45323</v>
      </c>
      <c r="BG59" s="209" t="s">
        <v>1292</v>
      </c>
    </row>
    <row r="60" spans="1:59" s="73" customFormat="1" ht="15.75" hidden="1" customHeight="1" x14ac:dyDescent="0.25">
      <c r="A60" s="193">
        <f>SUBTOTAL(3,$C$5:C60)</f>
        <v>0</v>
      </c>
      <c r="B60" s="301" t="s">
        <v>1306</v>
      </c>
      <c r="C60" s="242" t="s">
        <v>902</v>
      </c>
      <c r="D60" s="242" t="s">
        <v>78</v>
      </c>
      <c r="E60" s="192">
        <v>31350</v>
      </c>
      <c r="F60" s="192"/>
      <c r="G60" s="257" t="s">
        <v>1307</v>
      </c>
      <c r="H60" s="191">
        <v>45023</v>
      </c>
      <c r="I60" s="203" t="s">
        <v>37</v>
      </c>
      <c r="J60" s="209" t="s">
        <v>1308</v>
      </c>
      <c r="K60" s="209"/>
      <c r="L60" s="209"/>
      <c r="M60" s="209"/>
      <c r="N60" s="209"/>
      <c r="O60" s="240" t="s">
        <v>1309</v>
      </c>
      <c r="P60" s="240"/>
      <c r="Q60" s="209" t="s">
        <v>1310</v>
      </c>
      <c r="R60" s="209" t="s">
        <v>162</v>
      </c>
      <c r="S60" s="238" t="s">
        <v>1311</v>
      </c>
      <c r="T60" s="238"/>
      <c r="U60" s="236"/>
      <c r="V60" s="236"/>
      <c r="W60" s="209" t="s">
        <v>1783</v>
      </c>
      <c r="X60" s="209" t="s">
        <v>138</v>
      </c>
      <c r="Y60" s="209" t="s">
        <v>46</v>
      </c>
      <c r="Z60" s="209"/>
      <c r="AA60" s="196" t="s">
        <v>140</v>
      </c>
      <c r="AB60" s="192">
        <v>45231</v>
      </c>
      <c r="AC60" s="192">
        <v>45292</v>
      </c>
      <c r="AD60" s="193"/>
      <c r="AE60" s="193"/>
      <c r="AF60" s="193"/>
      <c r="AG60" s="196"/>
      <c r="AH60" s="196"/>
      <c r="AI60" s="193"/>
      <c r="AJ60" s="193"/>
      <c r="AK60" s="193"/>
      <c r="AL60" s="193"/>
      <c r="AM60" s="193"/>
      <c r="AN60" s="193"/>
      <c r="AO60" s="193"/>
      <c r="AP60" s="203"/>
      <c r="AQ60" s="193"/>
      <c r="AR60" s="193"/>
      <c r="AS60" s="208"/>
      <c r="AT60" s="208"/>
      <c r="AU60" s="209"/>
      <c r="AV60" s="209"/>
      <c r="AW60" s="209"/>
      <c r="AX60" s="209"/>
      <c r="AY60" s="209"/>
      <c r="AZ60" s="209"/>
      <c r="BA60" s="209"/>
      <c r="BB60" s="209"/>
      <c r="BC60" s="209"/>
      <c r="BD60" s="209"/>
      <c r="BE60" s="209"/>
      <c r="BF60" s="192">
        <v>45397</v>
      </c>
      <c r="BG60" s="196" t="s">
        <v>1312</v>
      </c>
    </row>
    <row r="61" spans="1:59" s="73" customFormat="1" ht="13.2" hidden="1" x14ac:dyDescent="0.25">
      <c r="A61" s="193">
        <f>SUBTOTAL(3,$C$5:C61)</f>
        <v>0</v>
      </c>
      <c r="B61" s="301"/>
      <c r="C61" s="199" t="s">
        <v>1313</v>
      </c>
      <c r="D61" s="199" t="s">
        <v>34</v>
      </c>
      <c r="E61" s="206">
        <v>17899</v>
      </c>
      <c r="F61" s="206"/>
      <c r="G61" s="191" t="s">
        <v>1314</v>
      </c>
      <c r="H61" s="185" t="s">
        <v>513</v>
      </c>
      <c r="I61" s="305" t="s">
        <v>37</v>
      </c>
      <c r="J61" s="199" t="s">
        <v>1315</v>
      </c>
      <c r="K61" s="199" t="s">
        <v>1316</v>
      </c>
      <c r="L61" s="199" t="s">
        <v>376</v>
      </c>
      <c r="M61" s="199" t="s">
        <v>217</v>
      </c>
      <c r="N61" s="199" t="s">
        <v>41</v>
      </c>
      <c r="O61" s="201" t="s">
        <v>1317</v>
      </c>
      <c r="P61" s="201"/>
      <c r="Q61" s="202"/>
      <c r="R61" s="202" t="s">
        <v>71</v>
      </c>
      <c r="S61" s="211" t="s">
        <v>1318</v>
      </c>
      <c r="T61" s="211"/>
      <c r="U61" s="222" t="s">
        <v>127</v>
      </c>
      <c r="V61" s="222"/>
      <c r="W61" s="205" t="s">
        <v>89</v>
      </c>
      <c r="X61" s="199" t="s">
        <v>311</v>
      </c>
      <c r="Y61" s="202" t="s">
        <v>1319</v>
      </c>
      <c r="Z61" s="202"/>
      <c r="AA61" s="205" t="s">
        <v>383</v>
      </c>
      <c r="AB61" s="193"/>
      <c r="AC61" s="191"/>
      <c r="AD61" s="193"/>
      <c r="AE61" s="193"/>
      <c r="AF61" s="193"/>
      <c r="AG61" s="209"/>
      <c r="AH61" s="209"/>
      <c r="AI61" s="193"/>
      <c r="AJ61" s="193"/>
      <c r="AK61" s="193"/>
      <c r="AL61" s="193"/>
      <c r="AM61" s="193"/>
      <c r="AN61" s="193"/>
      <c r="AO61" s="193"/>
      <c r="AP61" s="211" t="e">
        <v>#N/A</v>
      </c>
      <c r="AQ61" s="196"/>
      <c r="AR61" s="196"/>
      <c r="AS61" s="193"/>
      <c r="AT61" s="193"/>
      <c r="AU61" s="209"/>
      <c r="AV61" s="209"/>
      <c r="AW61" s="209"/>
      <c r="AX61" s="209"/>
      <c r="AY61" s="209"/>
      <c r="AZ61" s="209"/>
      <c r="BA61" s="209"/>
      <c r="BB61" s="209"/>
      <c r="BC61" s="209"/>
      <c r="BD61" s="209"/>
      <c r="BE61" s="209"/>
      <c r="BF61" s="192"/>
      <c r="BG61" s="208" t="s">
        <v>1320</v>
      </c>
    </row>
    <row r="62" spans="1:59" s="73" customFormat="1" ht="15.75" hidden="1" customHeight="1" x14ac:dyDescent="0.25">
      <c r="A62" s="193">
        <f>SUBTOTAL(3,$C$5:C62)</f>
        <v>0</v>
      </c>
      <c r="B62" s="301" t="s">
        <v>1321</v>
      </c>
      <c r="C62" s="242" t="s">
        <v>884</v>
      </c>
      <c r="D62" s="242" t="s">
        <v>34</v>
      </c>
      <c r="E62" s="192">
        <v>30320</v>
      </c>
      <c r="F62" s="192"/>
      <c r="G62" s="257" t="s">
        <v>1322</v>
      </c>
      <c r="H62" s="191">
        <v>44975</v>
      </c>
      <c r="I62" s="203" t="s">
        <v>37</v>
      </c>
      <c r="J62" s="226" t="s">
        <v>1323</v>
      </c>
      <c r="K62" s="256"/>
      <c r="L62" s="209"/>
      <c r="M62" s="209"/>
      <c r="N62" s="209"/>
      <c r="O62" s="253" t="s">
        <v>1324</v>
      </c>
      <c r="P62" s="253"/>
      <c r="Q62" s="209" t="s">
        <v>1325</v>
      </c>
      <c r="R62" s="226" t="s">
        <v>71</v>
      </c>
      <c r="S62" s="257" t="s">
        <v>1326</v>
      </c>
      <c r="T62" s="257"/>
      <c r="U62" s="226" t="s">
        <v>771</v>
      </c>
      <c r="V62" s="226"/>
      <c r="W62" s="199" t="s">
        <v>89</v>
      </c>
      <c r="X62" s="209" t="s">
        <v>286</v>
      </c>
      <c r="Y62" s="209" t="s">
        <v>1141</v>
      </c>
      <c r="Z62" s="209"/>
      <c r="AA62" s="196" t="s">
        <v>1328</v>
      </c>
      <c r="AB62" s="192">
        <v>45098</v>
      </c>
      <c r="AC62" s="192">
        <v>45150</v>
      </c>
      <c r="AD62" s="192">
        <v>45150</v>
      </c>
      <c r="AE62" s="192"/>
      <c r="AF62" s="196"/>
      <c r="AG62" s="193"/>
      <c r="AH62" s="193"/>
      <c r="AI62" s="193"/>
      <c r="AJ62" s="193"/>
      <c r="AK62" s="193"/>
      <c r="AL62" s="193"/>
      <c r="AM62" s="193"/>
      <c r="AN62" s="193"/>
      <c r="AO62" s="193"/>
      <c r="AP62" s="209" t="s">
        <v>1327</v>
      </c>
      <c r="AQ62" s="208"/>
      <c r="AR62" s="208"/>
      <c r="AS62" s="209"/>
      <c r="AT62" s="209"/>
      <c r="AU62" s="209"/>
      <c r="AV62" s="209"/>
      <c r="AW62" s="209"/>
      <c r="AX62" s="209"/>
      <c r="AY62" s="209"/>
      <c r="AZ62" s="209"/>
      <c r="BA62" s="209"/>
      <c r="BB62" s="209"/>
      <c r="BC62" s="209"/>
      <c r="BD62" s="209"/>
      <c r="BE62" s="209"/>
      <c r="BF62" s="192">
        <v>45425</v>
      </c>
      <c r="BG62" s="209" t="s">
        <v>1292</v>
      </c>
    </row>
    <row r="63" spans="1:59" s="73" customFormat="1" ht="15.75" hidden="1" customHeight="1" x14ac:dyDescent="0.25">
      <c r="A63" s="193">
        <f>SUBTOTAL(3,$C$5:C63)</f>
        <v>0</v>
      </c>
      <c r="B63" s="181">
        <v>48</v>
      </c>
      <c r="C63" s="242" t="s">
        <v>810</v>
      </c>
      <c r="D63" s="242" t="s">
        <v>34</v>
      </c>
      <c r="E63" s="248">
        <v>30421</v>
      </c>
      <c r="F63" s="248"/>
      <c r="G63" s="245" t="s">
        <v>1329</v>
      </c>
      <c r="H63" s="248">
        <v>44905</v>
      </c>
      <c r="I63" s="305" t="s">
        <v>37</v>
      </c>
      <c r="J63" s="242" t="s">
        <v>1330</v>
      </c>
      <c r="K63" s="242"/>
      <c r="L63" s="242"/>
      <c r="M63" s="209"/>
      <c r="N63" s="209"/>
      <c r="O63" s="244" t="s">
        <v>1331</v>
      </c>
      <c r="P63" s="244"/>
      <c r="Q63" s="242" t="s">
        <v>870</v>
      </c>
      <c r="R63" s="242" t="s">
        <v>71</v>
      </c>
      <c r="S63" s="245" t="s">
        <v>1332</v>
      </c>
      <c r="T63" s="245"/>
      <c r="U63" s="242" t="s">
        <v>127</v>
      </c>
      <c r="V63" s="242"/>
      <c r="W63" s="196" t="s">
        <v>89</v>
      </c>
      <c r="X63" s="242" t="s">
        <v>311</v>
      </c>
      <c r="Y63" s="314" t="s">
        <v>1333</v>
      </c>
      <c r="Z63" s="314"/>
      <c r="AA63" s="246"/>
      <c r="AB63" s="248">
        <v>45040</v>
      </c>
      <c r="AC63" s="248">
        <v>45101</v>
      </c>
      <c r="AD63" s="181">
        <v>0</v>
      </c>
      <c r="AE63" s="181"/>
      <c r="AF63" s="190" t="s">
        <v>446</v>
      </c>
      <c r="AG63" s="193"/>
      <c r="AH63" s="193"/>
      <c r="AI63" s="193"/>
      <c r="AJ63" s="193"/>
      <c r="AK63" s="193"/>
      <c r="AL63" s="193"/>
      <c r="AM63" s="193"/>
      <c r="AN63" s="193"/>
      <c r="AO63" s="193"/>
      <c r="AP63" s="247">
        <v>0</v>
      </c>
      <c r="AQ63" s="208"/>
      <c r="AR63" s="208"/>
      <c r="AS63" s="209"/>
      <c r="AT63" s="209"/>
      <c r="AU63" s="209"/>
      <c r="AV63" s="209"/>
      <c r="AW63" s="209"/>
      <c r="AX63" s="209"/>
      <c r="AY63" s="209"/>
      <c r="AZ63" s="209"/>
      <c r="BA63" s="209"/>
      <c r="BB63" s="209"/>
      <c r="BC63" s="209"/>
      <c r="BD63" s="209"/>
      <c r="BE63" s="209"/>
      <c r="BF63" s="192">
        <v>45463</v>
      </c>
      <c r="BG63" s="209" t="s">
        <v>1292</v>
      </c>
    </row>
    <row r="64" spans="1:59" s="73" customFormat="1" ht="15.75" hidden="1" customHeight="1" x14ac:dyDescent="0.25">
      <c r="A64" s="193">
        <f>SUBTOTAL(3,$C$5:C64)</f>
        <v>0</v>
      </c>
      <c r="B64" s="181">
        <v>49</v>
      </c>
      <c r="C64" s="242" t="s">
        <v>870</v>
      </c>
      <c r="D64" s="242" t="s">
        <v>78</v>
      </c>
      <c r="E64" s="248">
        <v>29587</v>
      </c>
      <c r="F64" s="248"/>
      <c r="G64" s="245" t="s">
        <v>1334</v>
      </c>
      <c r="H64" s="248">
        <v>44886</v>
      </c>
      <c r="I64" s="305" t="s">
        <v>37</v>
      </c>
      <c r="J64" s="242" t="s">
        <v>1335</v>
      </c>
      <c r="K64" s="242"/>
      <c r="L64" s="242"/>
      <c r="M64" s="209"/>
      <c r="N64" s="209"/>
      <c r="O64" s="244" t="s">
        <v>1332</v>
      </c>
      <c r="P64" s="244"/>
      <c r="Q64" s="242" t="s">
        <v>810</v>
      </c>
      <c r="R64" s="242" t="s">
        <v>162</v>
      </c>
      <c r="S64" s="245" t="s">
        <v>1331</v>
      </c>
      <c r="T64" s="245"/>
      <c r="U64" s="242" t="s">
        <v>871</v>
      </c>
      <c r="V64" s="242"/>
      <c r="W64" s="205" t="s">
        <v>1784</v>
      </c>
      <c r="X64" s="242" t="s">
        <v>311</v>
      </c>
      <c r="Y64" s="314" t="s">
        <v>117</v>
      </c>
      <c r="Z64" s="314"/>
      <c r="AA64" s="246"/>
      <c r="AB64" s="248">
        <v>45040</v>
      </c>
      <c r="AC64" s="248">
        <v>45101</v>
      </c>
      <c r="AD64" s="181">
        <v>0</v>
      </c>
      <c r="AE64" s="181"/>
      <c r="AF64" s="190" t="s">
        <v>446</v>
      </c>
      <c r="AG64" s="193"/>
      <c r="AH64" s="193"/>
      <c r="AI64" s="193"/>
      <c r="AJ64" s="193"/>
      <c r="AK64" s="193"/>
      <c r="AL64" s="193"/>
      <c r="AM64" s="193"/>
      <c r="AN64" s="193"/>
      <c r="AO64" s="193"/>
      <c r="AP64" s="247">
        <v>0</v>
      </c>
      <c r="AQ64" s="208"/>
      <c r="AR64" s="208"/>
      <c r="AS64" s="209"/>
      <c r="AT64" s="209"/>
      <c r="AU64" s="209"/>
      <c r="AV64" s="209"/>
      <c r="AW64" s="209"/>
      <c r="AX64" s="209"/>
      <c r="AY64" s="209"/>
      <c r="AZ64" s="209"/>
      <c r="BA64" s="209"/>
      <c r="BB64" s="209"/>
      <c r="BC64" s="209"/>
      <c r="BD64" s="209"/>
      <c r="BE64" s="209"/>
      <c r="BF64" s="192">
        <v>45463</v>
      </c>
      <c r="BG64" s="209" t="s">
        <v>1292</v>
      </c>
    </row>
    <row r="65" spans="1:59" s="73" customFormat="1" ht="15.75" hidden="1" customHeight="1" x14ac:dyDescent="0.25">
      <c r="A65" s="193">
        <f>SUBTOTAL(3,$C$5:C65)</f>
        <v>0</v>
      </c>
      <c r="B65" s="301" t="s">
        <v>1336</v>
      </c>
      <c r="C65" s="242" t="s">
        <v>892</v>
      </c>
      <c r="D65" s="242" t="s">
        <v>34</v>
      </c>
      <c r="E65" s="192">
        <v>34433</v>
      </c>
      <c r="F65" s="192"/>
      <c r="G65" s="257" t="s">
        <v>1337</v>
      </c>
      <c r="H65" s="191">
        <v>44880</v>
      </c>
      <c r="I65" s="203" t="s">
        <v>37</v>
      </c>
      <c r="J65" s="209" t="s">
        <v>1338</v>
      </c>
      <c r="K65" s="209"/>
      <c r="L65" s="209"/>
      <c r="M65" s="209"/>
      <c r="N65" s="209"/>
      <c r="O65" s="240" t="s">
        <v>1339</v>
      </c>
      <c r="P65" s="240"/>
      <c r="Q65" s="209"/>
      <c r="R65" s="209"/>
      <c r="S65" s="203"/>
      <c r="T65" s="203"/>
      <c r="U65" s="226" t="s">
        <v>238</v>
      </c>
      <c r="V65" s="226"/>
      <c r="W65" s="205" t="s">
        <v>179</v>
      </c>
      <c r="X65" s="209" t="s">
        <v>239</v>
      </c>
      <c r="Y65" s="209" t="s">
        <v>1127</v>
      </c>
      <c r="Z65" s="209"/>
      <c r="AA65" s="315" t="s">
        <v>1340</v>
      </c>
      <c r="AB65" s="192">
        <v>45153</v>
      </c>
      <c r="AC65" s="192">
        <v>45214</v>
      </c>
      <c r="AD65" s="192">
        <v>45214</v>
      </c>
      <c r="AE65" s="192"/>
      <c r="AF65" s="196" t="str">
        <f>VLOOKUP(C65,'[1]T03.2024'!$B$8:$O$58,14,0)</f>
        <v>T10/2023</v>
      </c>
      <c r="AG65" s="193" t="s">
        <v>1341</v>
      </c>
      <c r="AH65" s="193"/>
      <c r="AI65" s="193"/>
      <c r="AJ65" s="193"/>
      <c r="AK65" s="193"/>
      <c r="AL65" s="193"/>
      <c r="AM65" s="193"/>
      <c r="AN65" s="193"/>
      <c r="AO65" s="193"/>
      <c r="AP65" s="203">
        <v>9521462568</v>
      </c>
      <c r="AQ65" s="208">
        <v>5008000</v>
      </c>
      <c r="AR65" s="208"/>
      <c r="AS65" s="209"/>
      <c r="AT65" s="209"/>
      <c r="AU65" s="209"/>
      <c r="AV65" s="209"/>
      <c r="AW65" s="209"/>
      <c r="AX65" s="209"/>
      <c r="AY65" s="209"/>
      <c r="AZ65" s="209"/>
      <c r="BA65" s="209"/>
      <c r="BB65" s="209"/>
      <c r="BC65" s="209"/>
      <c r="BD65" s="209"/>
      <c r="BE65" s="209"/>
      <c r="BF65" s="192">
        <v>45467</v>
      </c>
      <c r="BG65" s="209" t="s">
        <v>1342</v>
      </c>
    </row>
    <row r="66" spans="1:59" s="73" customFormat="1" ht="13.2" hidden="1" x14ac:dyDescent="0.25">
      <c r="A66" s="193">
        <f>SUBTOTAL(3,$C$5:C66)</f>
        <v>0</v>
      </c>
      <c r="B66" s="301"/>
      <c r="C66" s="199" t="s">
        <v>1343</v>
      </c>
      <c r="D66" s="199" t="s">
        <v>34</v>
      </c>
      <c r="E66" s="206">
        <v>34010</v>
      </c>
      <c r="F66" s="206"/>
      <c r="G66" s="194" t="s">
        <v>1344</v>
      </c>
      <c r="H66" s="185">
        <v>44965</v>
      </c>
      <c r="I66" s="305" t="s">
        <v>37</v>
      </c>
      <c r="J66" s="199" t="s">
        <v>1345</v>
      </c>
      <c r="K66" s="199" t="s">
        <v>1346</v>
      </c>
      <c r="L66" s="199" t="s">
        <v>1347</v>
      </c>
      <c r="M66" s="199" t="s">
        <v>1348</v>
      </c>
      <c r="N66" s="199" t="s">
        <v>531</v>
      </c>
      <c r="O66" s="201" t="s">
        <v>1349</v>
      </c>
      <c r="P66" s="201"/>
      <c r="Q66" s="202"/>
      <c r="R66" s="202" t="s">
        <v>220</v>
      </c>
      <c r="S66" s="207" t="s">
        <v>1350</v>
      </c>
      <c r="T66" s="207"/>
      <c r="U66" s="199" t="s">
        <v>1352</v>
      </c>
      <c r="V66" s="199"/>
      <c r="W66" s="205" t="s">
        <v>368</v>
      </c>
      <c r="X66" s="199" t="s">
        <v>369</v>
      </c>
      <c r="Y66" s="199" t="s">
        <v>74</v>
      </c>
      <c r="Z66" s="199"/>
      <c r="AA66" s="205" t="s">
        <v>1353</v>
      </c>
      <c r="AB66" s="191">
        <v>43521</v>
      </c>
      <c r="AC66" s="206">
        <v>43521</v>
      </c>
      <c r="AD66" s="192">
        <v>43770</v>
      </c>
      <c r="AE66" s="192"/>
      <c r="AF66" s="196" t="str">
        <f>VLOOKUP(C66,'[1]T03.2024'!$B$8:$O$58,14,0)</f>
        <v>T11/2019</v>
      </c>
      <c r="AG66" s="193" t="s">
        <v>1354</v>
      </c>
      <c r="AH66" s="193"/>
      <c r="AI66" s="193"/>
      <c r="AJ66" s="193"/>
      <c r="AK66" s="193"/>
      <c r="AL66" s="193"/>
      <c r="AM66" s="193"/>
      <c r="AN66" s="193"/>
      <c r="AO66" s="193"/>
      <c r="AP66" s="211" t="s">
        <v>1351</v>
      </c>
      <c r="AQ66" s="208">
        <v>4730000</v>
      </c>
      <c r="AR66" s="208"/>
      <c r="AS66" s="209"/>
      <c r="AT66" s="209"/>
      <c r="AU66" s="209"/>
      <c r="AV66" s="209"/>
      <c r="AW66" s="209"/>
      <c r="AX66" s="209"/>
      <c r="AY66" s="209"/>
      <c r="AZ66" s="209"/>
      <c r="BA66" s="209"/>
      <c r="BB66" s="209"/>
      <c r="BC66" s="209"/>
      <c r="BD66" s="209"/>
      <c r="BE66" s="209"/>
      <c r="BF66" s="192">
        <v>45474</v>
      </c>
      <c r="BG66" s="209" t="s">
        <v>1355</v>
      </c>
    </row>
    <row r="67" spans="1:59" s="73" customFormat="1" ht="15.75" hidden="1" customHeight="1" x14ac:dyDescent="0.25">
      <c r="A67" s="193">
        <f>SUBTOTAL(3,$C$5:C67)</f>
        <v>0</v>
      </c>
      <c r="B67" s="181">
        <v>62</v>
      </c>
      <c r="C67" s="242" t="s">
        <v>894</v>
      </c>
      <c r="D67" s="242" t="s">
        <v>34</v>
      </c>
      <c r="E67" s="192">
        <v>32665</v>
      </c>
      <c r="F67" s="192"/>
      <c r="G67" s="257" t="s">
        <v>1006</v>
      </c>
      <c r="H67" s="191">
        <v>44303</v>
      </c>
      <c r="I67" s="203" t="s">
        <v>37</v>
      </c>
      <c r="J67" s="209" t="s">
        <v>1356</v>
      </c>
      <c r="K67" s="209"/>
      <c r="L67" s="209"/>
      <c r="M67" s="209"/>
      <c r="N67" s="209"/>
      <c r="O67" s="240" t="s">
        <v>1011</v>
      </c>
      <c r="P67" s="240"/>
      <c r="Q67" s="209"/>
      <c r="R67" s="209"/>
      <c r="S67" s="203"/>
      <c r="T67" s="203"/>
      <c r="U67" s="226" t="s">
        <v>224</v>
      </c>
      <c r="V67" s="226"/>
      <c r="W67" s="205" t="s">
        <v>179</v>
      </c>
      <c r="X67" s="209" t="s">
        <v>646</v>
      </c>
      <c r="Y67" s="209" t="s">
        <v>140</v>
      </c>
      <c r="Z67" s="209"/>
      <c r="AA67" s="196"/>
      <c r="AB67" s="192">
        <v>45170</v>
      </c>
      <c r="AC67" s="192">
        <v>45170</v>
      </c>
      <c r="AD67" s="192">
        <v>45173</v>
      </c>
      <c r="AE67" s="192"/>
      <c r="AF67" s="196" t="str">
        <f>VLOOKUP(C67,'[1]T03.2024'!$B$8:$O$58,14,0)</f>
        <v>T09/2023</v>
      </c>
      <c r="AG67" s="193" t="s">
        <v>1358</v>
      </c>
      <c r="AH67" s="193"/>
      <c r="AI67" s="193"/>
      <c r="AJ67" s="193"/>
      <c r="AK67" s="193"/>
      <c r="AL67" s="193"/>
      <c r="AM67" s="193"/>
      <c r="AN67" s="193"/>
      <c r="AO67" s="193"/>
      <c r="AP67" s="203" t="s">
        <v>1357</v>
      </c>
      <c r="AQ67" s="208">
        <v>5008000</v>
      </c>
      <c r="AR67" s="208"/>
      <c r="AS67" s="209"/>
      <c r="AT67" s="209"/>
      <c r="AU67" s="209"/>
      <c r="AV67" s="209"/>
      <c r="AW67" s="209"/>
      <c r="AX67" s="209"/>
      <c r="AY67" s="209"/>
      <c r="AZ67" s="209"/>
      <c r="BA67" s="209"/>
      <c r="BB67" s="209"/>
      <c r="BC67" s="209"/>
      <c r="BD67" s="209"/>
      <c r="BE67" s="209"/>
      <c r="BF67" s="192">
        <v>45505</v>
      </c>
      <c r="BG67" s="209" t="s">
        <v>1359</v>
      </c>
    </row>
    <row r="68" spans="1:59" s="73" customFormat="1" ht="15.75" hidden="1" customHeight="1" x14ac:dyDescent="0.25">
      <c r="A68" s="193">
        <f>SUBTOTAL(3,$C$5:C68)</f>
        <v>0</v>
      </c>
      <c r="B68" s="181"/>
      <c r="C68" s="242" t="s">
        <v>339</v>
      </c>
      <c r="D68" s="242" t="s">
        <v>34</v>
      </c>
      <c r="E68" s="192">
        <v>32907</v>
      </c>
      <c r="F68" s="192"/>
      <c r="G68" s="257" t="s">
        <v>1360</v>
      </c>
      <c r="H68" s="191">
        <v>44549</v>
      </c>
      <c r="I68" s="203" t="s">
        <v>37</v>
      </c>
      <c r="J68" s="209" t="s">
        <v>1361</v>
      </c>
      <c r="K68" s="209"/>
      <c r="L68" s="209"/>
      <c r="M68" s="209"/>
      <c r="N68" s="209"/>
      <c r="O68" s="240" t="s">
        <v>1362</v>
      </c>
      <c r="P68" s="240"/>
      <c r="Q68" s="209"/>
      <c r="R68" s="209"/>
      <c r="S68" s="238"/>
      <c r="T68" s="238"/>
      <c r="U68" s="226" t="s">
        <v>207</v>
      </c>
      <c r="V68" s="226"/>
      <c r="W68" s="205" t="s">
        <v>179</v>
      </c>
      <c r="X68" s="209" t="s">
        <v>168</v>
      </c>
      <c r="Y68" s="209" t="s">
        <v>140</v>
      </c>
      <c r="Z68" s="209"/>
      <c r="AA68" s="196"/>
      <c r="AB68" s="192">
        <v>45271</v>
      </c>
      <c r="AC68" s="192">
        <v>45323</v>
      </c>
      <c r="AD68" s="192">
        <v>45352</v>
      </c>
      <c r="AE68" s="192"/>
      <c r="AF68" s="196" t="str">
        <f>VLOOKUP(C68,'[1]T03.2024'!$B$8:$O$58,14,0)</f>
        <v>T03/2024</v>
      </c>
      <c r="AG68" s="193" t="s">
        <v>1363</v>
      </c>
      <c r="AH68" s="193"/>
      <c r="AI68" s="193"/>
      <c r="AJ68" s="193"/>
      <c r="AK68" s="193"/>
      <c r="AL68" s="193"/>
      <c r="AM68" s="193"/>
      <c r="AN68" s="193"/>
      <c r="AO68" s="193"/>
      <c r="AP68" s="203">
        <v>0</v>
      </c>
      <c r="AQ68" s="208">
        <v>5008000</v>
      </c>
      <c r="AR68" s="208"/>
      <c r="AS68" s="209"/>
      <c r="AT68" s="209"/>
      <c r="AU68" s="209"/>
      <c r="AV68" s="209"/>
      <c r="AW68" s="209"/>
      <c r="AX68" s="209"/>
      <c r="AY68" s="209"/>
      <c r="AZ68" s="209"/>
      <c r="BA68" s="209"/>
      <c r="BB68" s="209"/>
      <c r="BC68" s="209"/>
      <c r="BD68" s="209"/>
      <c r="BE68" s="209"/>
      <c r="BF68" s="192">
        <v>45505</v>
      </c>
      <c r="BG68" s="209" t="s">
        <v>1364</v>
      </c>
    </row>
    <row r="69" spans="1:59" s="73" customFormat="1" ht="15.75" hidden="1" customHeight="1" x14ac:dyDescent="0.25">
      <c r="A69" s="193">
        <f>SUBTOTAL(3,$C$5:C69)</f>
        <v>0</v>
      </c>
      <c r="B69" s="181">
        <v>68</v>
      </c>
      <c r="C69" s="242" t="s">
        <v>913</v>
      </c>
      <c r="D69" s="242" t="s">
        <v>34</v>
      </c>
      <c r="E69" s="192">
        <v>35701</v>
      </c>
      <c r="F69" s="192"/>
      <c r="G69" s="257" t="s">
        <v>1365</v>
      </c>
      <c r="H69" s="191">
        <v>44587</v>
      </c>
      <c r="I69" s="203" t="s">
        <v>37</v>
      </c>
      <c r="J69" s="256" t="s">
        <v>1366</v>
      </c>
      <c r="K69" s="209" t="s">
        <v>1366</v>
      </c>
      <c r="L69" s="209"/>
      <c r="M69" s="209"/>
      <c r="N69" s="209"/>
      <c r="O69" s="253" t="s">
        <v>1367</v>
      </c>
      <c r="P69" s="253"/>
      <c r="Q69" s="209" t="s">
        <v>1368</v>
      </c>
      <c r="R69" s="209" t="s">
        <v>282</v>
      </c>
      <c r="S69" s="209" t="s">
        <v>1369</v>
      </c>
      <c r="T69" s="209"/>
      <c r="U69" s="209" t="s">
        <v>104</v>
      </c>
      <c r="V69" s="209"/>
      <c r="W69" s="236" t="s">
        <v>89</v>
      </c>
      <c r="X69" s="209" t="s">
        <v>659</v>
      </c>
      <c r="Y69" s="236" t="s">
        <v>1370</v>
      </c>
      <c r="Z69" s="236"/>
      <c r="AA69" s="196" t="s">
        <v>1371</v>
      </c>
      <c r="AB69" s="192">
        <v>45383</v>
      </c>
      <c r="AC69" s="192">
        <v>45444</v>
      </c>
      <c r="AD69" s="192">
        <v>45444</v>
      </c>
      <c r="AE69" s="192"/>
      <c r="AF69" s="209" t="s">
        <v>877</v>
      </c>
      <c r="AG69" s="193"/>
      <c r="AH69" s="193"/>
      <c r="AI69" s="316"/>
      <c r="AJ69" s="316"/>
      <c r="AK69" s="316"/>
      <c r="AL69" s="316"/>
      <c r="AM69" s="316"/>
      <c r="AN69" s="316"/>
      <c r="AO69" s="316"/>
      <c r="AP69" s="226" t="e">
        <v>#N/A</v>
      </c>
      <c r="AQ69" s="208">
        <v>5008000</v>
      </c>
      <c r="AR69" s="208"/>
      <c r="AS69" s="209" t="s">
        <v>1372</v>
      </c>
      <c r="AT69" s="209"/>
      <c r="AU69" s="317"/>
      <c r="AV69" s="317"/>
      <c r="AW69" s="317"/>
      <c r="AX69" s="317"/>
      <c r="AY69" s="317"/>
      <c r="AZ69" s="317"/>
      <c r="BA69" s="317"/>
      <c r="BB69" s="317"/>
      <c r="BC69" s="317"/>
      <c r="BD69" s="317"/>
      <c r="BE69" s="317"/>
      <c r="BF69" s="192">
        <v>45517</v>
      </c>
      <c r="BG69" s="209" t="s">
        <v>1373</v>
      </c>
    </row>
    <row r="70" spans="1:59" s="73" customFormat="1" ht="15.75" hidden="1" customHeight="1" x14ac:dyDescent="0.25">
      <c r="A70" s="193">
        <f>SUBTOTAL(3,$C$5:C70)</f>
        <v>0</v>
      </c>
      <c r="B70" s="181">
        <v>45</v>
      </c>
      <c r="C70" s="242" t="s">
        <v>836</v>
      </c>
      <c r="D70" s="242" t="s">
        <v>34</v>
      </c>
      <c r="E70" s="248">
        <v>27425</v>
      </c>
      <c r="F70" s="248"/>
      <c r="G70" s="279" t="s">
        <v>1374</v>
      </c>
      <c r="H70" s="185">
        <v>44788</v>
      </c>
      <c r="I70" s="305" t="s">
        <v>37</v>
      </c>
      <c r="J70" s="242" t="s">
        <v>1375</v>
      </c>
      <c r="K70" s="242" t="s">
        <v>1376</v>
      </c>
      <c r="L70" s="242" t="s">
        <v>1377</v>
      </c>
      <c r="M70" s="242" t="s">
        <v>1378</v>
      </c>
      <c r="N70" s="242" t="s">
        <v>1286</v>
      </c>
      <c r="O70" s="244" t="s">
        <v>1379</v>
      </c>
      <c r="P70" s="244"/>
      <c r="Q70" s="242" t="s">
        <v>1380</v>
      </c>
      <c r="R70" s="209" t="s">
        <v>71</v>
      </c>
      <c r="S70" s="245" t="s">
        <v>1381</v>
      </c>
      <c r="T70" s="245"/>
      <c r="U70" s="236" t="s">
        <v>103</v>
      </c>
      <c r="V70" s="236"/>
      <c r="W70" s="205" t="s">
        <v>1784</v>
      </c>
      <c r="X70" s="246" t="s">
        <v>310</v>
      </c>
      <c r="Y70" s="242" t="s">
        <v>1382</v>
      </c>
      <c r="Z70" s="242" t="s">
        <v>1383</v>
      </c>
      <c r="AA70" s="196"/>
      <c r="AB70" s="248">
        <v>44749</v>
      </c>
      <c r="AC70" s="248">
        <v>44749</v>
      </c>
      <c r="AD70" s="318">
        <v>44805</v>
      </c>
      <c r="AE70" s="318"/>
      <c r="AF70" s="196" t="s">
        <v>1384</v>
      </c>
      <c r="AG70" s="193" t="s">
        <v>1385</v>
      </c>
      <c r="AH70" s="193"/>
      <c r="AI70" s="316"/>
      <c r="AJ70" s="316"/>
      <c r="AK70" s="316"/>
      <c r="AL70" s="316"/>
      <c r="AM70" s="316"/>
      <c r="AN70" s="316"/>
      <c r="AO70" s="316"/>
      <c r="AP70" s="247">
        <v>7911175850</v>
      </c>
      <c r="AQ70" s="208">
        <v>5008000</v>
      </c>
      <c r="AR70" s="208"/>
      <c r="AS70" s="209"/>
      <c r="AT70" s="209"/>
      <c r="AU70" s="317"/>
      <c r="AV70" s="317"/>
      <c r="AW70" s="317"/>
      <c r="AX70" s="317"/>
      <c r="AY70" s="317"/>
      <c r="AZ70" s="317"/>
      <c r="BA70" s="317"/>
      <c r="BB70" s="317"/>
      <c r="BC70" s="317"/>
      <c r="BD70" s="317"/>
      <c r="BE70" s="317"/>
      <c r="BF70" s="192">
        <v>45516</v>
      </c>
      <c r="BG70" s="209" t="s">
        <v>1386</v>
      </c>
    </row>
    <row r="71" spans="1:59" s="73" customFormat="1" ht="15.75" hidden="1" customHeight="1" x14ac:dyDescent="0.25">
      <c r="A71" s="193">
        <f>SUBTOTAL(3,$C$5:C71)</f>
        <v>0</v>
      </c>
      <c r="B71" s="181"/>
      <c r="C71" s="242" t="s">
        <v>921</v>
      </c>
      <c r="D71" s="242" t="s">
        <v>34</v>
      </c>
      <c r="E71" s="192">
        <v>33853</v>
      </c>
      <c r="F71" s="192"/>
      <c r="G71" s="257" t="s">
        <v>1387</v>
      </c>
      <c r="H71" s="191">
        <v>44522</v>
      </c>
      <c r="I71" s="305" t="s">
        <v>37</v>
      </c>
      <c r="J71" s="256" t="s">
        <v>1388</v>
      </c>
      <c r="K71" s="256" t="s">
        <v>1388</v>
      </c>
      <c r="L71" s="209"/>
      <c r="M71" s="209"/>
      <c r="N71" s="209"/>
      <c r="O71" s="253" t="s">
        <v>1389</v>
      </c>
      <c r="P71" s="253"/>
      <c r="Q71" s="209" t="s">
        <v>1390</v>
      </c>
      <c r="R71" s="209" t="s">
        <v>1391</v>
      </c>
      <c r="S71" s="257" t="s">
        <v>1392</v>
      </c>
      <c r="T71" s="257"/>
      <c r="U71" s="209" t="s">
        <v>104</v>
      </c>
      <c r="V71" s="307"/>
      <c r="W71" s="319" t="s">
        <v>89</v>
      </c>
      <c r="X71" s="209" t="s">
        <v>659</v>
      </c>
      <c r="Y71" s="260" t="s">
        <v>718</v>
      </c>
      <c r="Z71" s="209" t="s">
        <v>1394</v>
      </c>
      <c r="AA71" s="260" t="s">
        <v>1395</v>
      </c>
      <c r="AB71" s="248">
        <v>45519</v>
      </c>
      <c r="AC71" s="248"/>
      <c r="AD71" s="209"/>
      <c r="AE71" s="209"/>
      <c r="AF71" s="320"/>
      <c r="AG71" s="193"/>
      <c r="AH71" s="193"/>
      <c r="AI71" s="193"/>
      <c r="AJ71" s="193"/>
      <c r="AK71" s="193"/>
      <c r="AL71" s="193"/>
      <c r="AM71" s="193"/>
      <c r="AN71" s="193"/>
      <c r="AO71" s="193"/>
      <c r="AP71" s="257" t="s">
        <v>1393</v>
      </c>
      <c r="AQ71" s="193"/>
      <c r="AR71" s="193"/>
      <c r="AS71" s="260" t="s">
        <v>1396</v>
      </c>
      <c r="AT71" s="260"/>
      <c r="AU71" s="209"/>
      <c r="AV71" s="209"/>
      <c r="AW71" s="209"/>
      <c r="AX71" s="209"/>
      <c r="AY71" s="209"/>
      <c r="AZ71" s="209"/>
      <c r="BA71" s="209"/>
      <c r="BB71" s="209"/>
      <c r="BC71" s="209"/>
      <c r="BD71" s="209"/>
      <c r="BE71" s="209"/>
      <c r="BF71" s="192">
        <v>45541</v>
      </c>
      <c r="BG71" s="208" t="s">
        <v>1312</v>
      </c>
    </row>
    <row r="72" spans="1:59" s="73" customFormat="1" ht="15.75" hidden="1" customHeight="1" x14ac:dyDescent="0.25">
      <c r="A72" s="193">
        <f>SUBTOTAL(3,$C$5:C72)</f>
        <v>0</v>
      </c>
      <c r="B72" s="181"/>
      <c r="C72" s="242" t="s">
        <v>916</v>
      </c>
      <c r="D72" s="242" t="s">
        <v>34</v>
      </c>
      <c r="E72" s="192">
        <v>33421</v>
      </c>
      <c r="F72" s="192"/>
      <c r="G72" s="257" t="s">
        <v>1397</v>
      </c>
      <c r="H72" s="191">
        <v>44612</v>
      </c>
      <c r="I72" s="305" t="s">
        <v>37</v>
      </c>
      <c r="J72" s="256" t="s">
        <v>1398</v>
      </c>
      <c r="K72" s="256" t="s">
        <v>1399</v>
      </c>
      <c r="L72" s="209"/>
      <c r="M72" s="209"/>
      <c r="N72" s="209"/>
      <c r="O72" s="253" t="s">
        <v>1400</v>
      </c>
      <c r="P72" s="253"/>
      <c r="Q72" s="209" t="s">
        <v>1401</v>
      </c>
      <c r="R72" s="209" t="s">
        <v>71</v>
      </c>
      <c r="S72" s="257" t="s">
        <v>1402</v>
      </c>
      <c r="T72" s="257"/>
      <c r="U72" s="209" t="s">
        <v>1404</v>
      </c>
      <c r="V72" s="307"/>
      <c r="W72" s="319" t="s">
        <v>368</v>
      </c>
      <c r="X72" s="210" t="s">
        <v>62</v>
      </c>
      <c r="Y72" s="260" t="s">
        <v>140</v>
      </c>
      <c r="Z72" s="260"/>
      <c r="AA72" s="260" t="s">
        <v>1405</v>
      </c>
      <c r="AB72" s="248">
        <v>45482</v>
      </c>
      <c r="AC72" s="248"/>
      <c r="AD72" s="209"/>
      <c r="AE72" s="209"/>
      <c r="AF72" s="209"/>
      <c r="AG72" s="193"/>
      <c r="AH72" s="193"/>
      <c r="AI72" s="193"/>
      <c r="AJ72" s="193"/>
      <c r="AK72" s="193"/>
      <c r="AL72" s="193"/>
      <c r="AM72" s="193"/>
      <c r="AN72" s="193"/>
      <c r="AO72" s="193"/>
      <c r="AP72" s="257" t="s">
        <v>1403</v>
      </c>
      <c r="AQ72" s="193"/>
      <c r="AR72" s="193"/>
      <c r="AS72" s="260" t="s">
        <v>1406</v>
      </c>
      <c r="AT72" s="260"/>
      <c r="AU72" s="209"/>
      <c r="AV72" s="209"/>
      <c r="AW72" s="209"/>
      <c r="AX72" s="209"/>
      <c r="AY72" s="209"/>
      <c r="AZ72" s="209"/>
      <c r="BA72" s="209"/>
      <c r="BB72" s="209"/>
      <c r="BC72" s="209"/>
      <c r="BD72" s="209"/>
      <c r="BE72" s="209"/>
      <c r="BF72" s="192">
        <v>45552</v>
      </c>
      <c r="BG72" s="208" t="s">
        <v>1407</v>
      </c>
    </row>
    <row r="73" spans="1:59" s="73" customFormat="1" ht="15.75" hidden="1" customHeight="1" x14ac:dyDescent="0.25">
      <c r="A73" s="193">
        <f>SUBTOTAL(3,$C$5:C73)</f>
        <v>0</v>
      </c>
      <c r="B73" s="181"/>
      <c r="C73" s="242" t="s">
        <v>923</v>
      </c>
      <c r="D73" s="242" t="s">
        <v>34</v>
      </c>
      <c r="E73" s="192">
        <v>35550</v>
      </c>
      <c r="F73" s="192"/>
      <c r="G73" s="257" t="s">
        <v>1408</v>
      </c>
      <c r="H73" s="191">
        <v>44420</v>
      </c>
      <c r="I73" s="203" t="s">
        <v>37</v>
      </c>
      <c r="J73" s="256" t="s">
        <v>1409</v>
      </c>
      <c r="K73" s="256" t="s">
        <v>1410</v>
      </c>
      <c r="L73" s="209"/>
      <c r="M73" s="209"/>
      <c r="N73" s="209"/>
      <c r="O73" s="253" t="s">
        <v>1411</v>
      </c>
      <c r="P73" s="253"/>
      <c r="Q73" s="209" t="s">
        <v>1412</v>
      </c>
      <c r="R73" s="209" t="s">
        <v>1019</v>
      </c>
      <c r="S73" s="257" t="s">
        <v>1413</v>
      </c>
      <c r="T73" s="257"/>
      <c r="U73" s="209" t="s">
        <v>224</v>
      </c>
      <c r="V73" s="209"/>
      <c r="W73" s="205" t="s">
        <v>179</v>
      </c>
      <c r="X73" s="209" t="s">
        <v>168</v>
      </c>
      <c r="Y73" s="260" t="s">
        <v>140</v>
      </c>
      <c r="Z73" s="209" t="s">
        <v>1415</v>
      </c>
      <c r="AA73" s="260" t="s">
        <v>1416</v>
      </c>
      <c r="AB73" s="248">
        <v>45538</v>
      </c>
      <c r="AC73" s="248"/>
      <c r="AD73" s="193"/>
      <c r="AE73" s="193"/>
      <c r="AF73" s="193"/>
      <c r="AG73" s="193"/>
      <c r="AH73" s="193"/>
      <c r="AI73" s="193"/>
      <c r="AJ73" s="193"/>
      <c r="AK73" s="193"/>
      <c r="AL73" s="193"/>
      <c r="AM73" s="193"/>
      <c r="AN73" s="193"/>
      <c r="AO73" s="193"/>
      <c r="AP73" s="257" t="s">
        <v>1414</v>
      </c>
      <c r="AQ73" s="193"/>
      <c r="AR73" s="193"/>
      <c r="AS73" s="260" t="s">
        <v>1417</v>
      </c>
      <c r="AT73" s="260"/>
      <c r="AU73" s="209"/>
      <c r="AV73" s="209"/>
      <c r="AW73" s="209"/>
      <c r="AX73" s="209"/>
      <c r="AY73" s="209"/>
      <c r="AZ73" s="209"/>
      <c r="BA73" s="209"/>
      <c r="BB73" s="209"/>
      <c r="BC73" s="209"/>
      <c r="BD73" s="209"/>
      <c r="BE73" s="209"/>
      <c r="BF73" s="192">
        <v>45554</v>
      </c>
      <c r="BG73" s="209" t="s">
        <v>1418</v>
      </c>
    </row>
    <row r="74" spans="1:59" s="73" customFormat="1" ht="15.75" hidden="1" customHeight="1" x14ac:dyDescent="0.25">
      <c r="A74" s="193">
        <f>SUBTOTAL(3,$C$5:C74)</f>
        <v>0</v>
      </c>
      <c r="B74" s="181">
        <v>56</v>
      </c>
      <c r="C74" s="242" t="s">
        <v>886</v>
      </c>
      <c r="D74" s="242" t="s">
        <v>78</v>
      </c>
      <c r="E74" s="192">
        <v>29521</v>
      </c>
      <c r="F74" s="192"/>
      <c r="G74" s="257" t="s">
        <v>1419</v>
      </c>
      <c r="H74" s="191">
        <v>44296</v>
      </c>
      <c r="I74" s="203" t="s">
        <v>37</v>
      </c>
      <c r="J74" s="256" t="s">
        <v>1420</v>
      </c>
      <c r="K74" s="256"/>
      <c r="L74" s="209"/>
      <c r="M74" s="209"/>
      <c r="N74" s="209"/>
      <c r="O74" s="253" t="s">
        <v>1421</v>
      </c>
      <c r="P74" s="253"/>
      <c r="Q74" s="209"/>
      <c r="R74" s="209"/>
      <c r="S74" s="257"/>
      <c r="T74" s="257"/>
      <c r="U74" s="253" t="s">
        <v>739</v>
      </c>
      <c r="V74" s="253"/>
      <c r="W74" s="209" t="s">
        <v>1783</v>
      </c>
      <c r="X74" s="260" t="s">
        <v>46</v>
      </c>
      <c r="Y74" s="209" t="s">
        <v>140</v>
      </c>
      <c r="Z74" s="260"/>
      <c r="AA74" s="256" t="s">
        <v>1423</v>
      </c>
      <c r="AB74" s="248">
        <v>45103</v>
      </c>
      <c r="AC74" s="248">
        <v>45164</v>
      </c>
      <c r="AD74" s="192">
        <v>45164</v>
      </c>
      <c r="AE74" s="192"/>
      <c r="AF74" s="193" t="str">
        <f>VLOOKUP(C74,'[1]T03.2024'!$B$8:$O$58,14,0)</f>
        <v>T09/2023</v>
      </c>
      <c r="AG74" s="193" t="s">
        <v>1424</v>
      </c>
      <c r="AH74" s="193"/>
      <c r="AI74" s="193"/>
      <c r="AJ74" s="193"/>
      <c r="AK74" s="193"/>
      <c r="AL74" s="193"/>
      <c r="AM74" s="193"/>
      <c r="AN74" s="193"/>
      <c r="AO74" s="193"/>
      <c r="AP74" s="257" t="s">
        <v>1422</v>
      </c>
      <c r="AQ74" s="208">
        <v>5008000</v>
      </c>
      <c r="AR74" s="208"/>
      <c r="AS74" s="209"/>
      <c r="AT74" s="209"/>
      <c r="AU74" s="209"/>
      <c r="AV74" s="209"/>
      <c r="AW74" s="209"/>
      <c r="AX74" s="209"/>
      <c r="AY74" s="209"/>
      <c r="AZ74" s="209"/>
      <c r="BA74" s="209"/>
      <c r="BB74" s="209"/>
      <c r="BC74" s="209"/>
      <c r="BD74" s="209"/>
      <c r="BE74" s="209"/>
      <c r="BF74" s="192">
        <v>45566</v>
      </c>
      <c r="BG74" s="209" t="s">
        <v>1312</v>
      </c>
    </row>
    <row r="75" spans="1:59" s="73" customFormat="1" ht="15.75" hidden="1" customHeight="1" x14ac:dyDescent="0.25">
      <c r="A75" s="193">
        <f>SUBTOTAL(3,$C$5:C75)</f>
        <v>0</v>
      </c>
      <c r="B75" s="181">
        <v>65</v>
      </c>
      <c r="C75" s="242" t="s">
        <v>824</v>
      </c>
      <c r="D75" s="242" t="s">
        <v>34</v>
      </c>
      <c r="E75" s="192">
        <v>34502</v>
      </c>
      <c r="F75" s="192"/>
      <c r="G75" s="257" t="s">
        <v>1219</v>
      </c>
      <c r="H75" s="191" t="s">
        <v>1220</v>
      </c>
      <c r="I75" s="203" t="s">
        <v>37</v>
      </c>
      <c r="J75" s="256" t="s">
        <v>1221</v>
      </c>
      <c r="K75" s="256" t="s">
        <v>1425</v>
      </c>
      <c r="L75" s="209" t="s">
        <v>1223</v>
      </c>
      <c r="M75" s="209" t="s">
        <v>1224</v>
      </c>
      <c r="N75" s="209" t="s">
        <v>417</v>
      </c>
      <c r="O75" s="253" t="s">
        <v>1225</v>
      </c>
      <c r="P75" s="253"/>
      <c r="Q75" s="209" t="s">
        <v>1226</v>
      </c>
      <c r="R75" s="209" t="s">
        <v>1227</v>
      </c>
      <c r="S75" s="257" t="s">
        <v>1228</v>
      </c>
      <c r="T75" s="257"/>
      <c r="U75" s="209" t="s">
        <v>238</v>
      </c>
      <c r="V75" s="209"/>
      <c r="W75" s="260" t="s">
        <v>179</v>
      </c>
      <c r="X75" s="209" t="s">
        <v>239</v>
      </c>
      <c r="Y75" s="260" t="s">
        <v>140</v>
      </c>
      <c r="Z75" s="209"/>
      <c r="AA75" s="313" t="s">
        <v>1426</v>
      </c>
      <c r="AB75" s="248">
        <v>45231</v>
      </c>
      <c r="AC75" s="192">
        <v>45231</v>
      </c>
      <c r="AD75" s="192">
        <v>45261</v>
      </c>
      <c r="AE75" s="192"/>
      <c r="AF75" s="193" t="s">
        <v>1427</v>
      </c>
      <c r="AG75" s="208" t="s">
        <v>1428</v>
      </c>
      <c r="AH75" s="208"/>
      <c r="AI75" s="193"/>
      <c r="AJ75" s="193"/>
      <c r="AK75" s="193"/>
      <c r="AL75" s="193"/>
      <c r="AM75" s="193"/>
      <c r="AN75" s="193"/>
      <c r="AO75" s="193"/>
      <c r="AP75" s="257" t="e">
        <v>#N/A</v>
      </c>
      <c r="AQ75" s="208">
        <v>5008000</v>
      </c>
      <c r="AR75" s="208"/>
      <c r="AS75" s="209"/>
      <c r="AT75" s="209"/>
      <c r="AU75" s="209"/>
      <c r="AV75" s="209"/>
      <c r="AW75" s="209"/>
      <c r="AX75" s="209"/>
      <c r="AY75" s="209"/>
      <c r="AZ75" s="209"/>
      <c r="BA75" s="209"/>
      <c r="BB75" s="209"/>
      <c r="BC75" s="209"/>
      <c r="BD75" s="209"/>
      <c r="BE75" s="209"/>
      <c r="BF75" s="192">
        <v>45566</v>
      </c>
      <c r="BG75" s="209" t="s">
        <v>1312</v>
      </c>
    </row>
    <row r="76" spans="1:59" s="73" customFormat="1" ht="15.75" hidden="1" customHeight="1" x14ac:dyDescent="0.25">
      <c r="A76" s="193">
        <f>SUBTOTAL(3,$C$5:C76)</f>
        <v>0</v>
      </c>
      <c r="B76" s="181"/>
      <c r="C76" s="242" t="s">
        <v>931</v>
      </c>
      <c r="D76" s="242" t="s">
        <v>34</v>
      </c>
      <c r="E76" s="192"/>
      <c r="F76" s="192"/>
      <c r="G76" s="257"/>
      <c r="H76" s="191"/>
      <c r="I76" s="203"/>
      <c r="J76" s="256"/>
      <c r="K76" s="256"/>
      <c r="L76" s="209"/>
      <c r="M76" s="209"/>
      <c r="N76" s="209"/>
      <c r="O76" s="253"/>
      <c r="P76" s="253"/>
      <c r="Q76" s="209"/>
      <c r="R76" s="209"/>
      <c r="S76" s="257"/>
      <c r="T76" s="257"/>
      <c r="U76" s="209" t="s">
        <v>224</v>
      </c>
      <c r="V76" s="209"/>
      <c r="W76" s="260" t="s">
        <v>179</v>
      </c>
      <c r="X76" s="209" t="s">
        <v>290</v>
      </c>
      <c r="Y76" s="260" t="s">
        <v>255</v>
      </c>
      <c r="Z76" s="209"/>
      <c r="AA76" s="313"/>
      <c r="AB76" s="248"/>
      <c r="AC76" s="192"/>
      <c r="AD76" s="192"/>
      <c r="AE76" s="192"/>
      <c r="AF76" s="193"/>
      <c r="AG76" s="208"/>
      <c r="AH76" s="208"/>
      <c r="AI76" s="193"/>
      <c r="AJ76" s="193"/>
      <c r="AK76" s="193"/>
      <c r="AL76" s="193"/>
      <c r="AM76" s="193"/>
      <c r="AN76" s="193"/>
      <c r="AO76" s="193"/>
      <c r="AP76" s="257"/>
      <c r="AQ76" s="208"/>
      <c r="AR76" s="208"/>
      <c r="AS76" s="209"/>
      <c r="AT76" s="209"/>
      <c r="AU76" s="209"/>
      <c r="AV76" s="209"/>
      <c r="AW76" s="209"/>
      <c r="AX76" s="209"/>
      <c r="AY76" s="209"/>
      <c r="AZ76" s="209"/>
      <c r="BA76" s="209"/>
      <c r="BB76" s="209"/>
      <c r="BC76" s="209"/>
      <c r="BD76" s="209"/>
      <c r="BE76" s="209"/>
      <c r="BF76" s="192">
        <v>45565</v>
      </c>
      <c r="BG76" s="209" t="s">
        <v>1485</v>
      </c>
    </row>
    <row r="77" spans="1:59" s="73" customFormat="1" ht="15.75" hidden="1" customHeight="1" x14ac:dyDescent="0.25">
      <c r="A77" s="193">
        <f>SUBTOTAL(3,$C$5:C77)</f>
        <v>0</v>
      </c>
      <c r="B77" s="181"/>
      <c r="C77" s="242" t="s">
        <v>933</v>
      </c>
      <c r="D77" s="242" t="s">
        <v>34</v>
      </c>
      <c r="E77" s="192"/>
      <c r="F77" s="192"/>
      <c r="G77" s="257"/>
      <c r="H77" s="191"/>
      <c r="I77" s="203"/>
      <c r="J77" s="256"/>
      <c r="K77" s="256"/>
      <c r="L77" s="209"/>
      <c r="M77" s="209"/>
      <c r="N77" s="209"/>
      <c r="O77" s="253"/>
      <c r="P77" s="253"/>
      <c r="Q77" s="209"/>
      <c r="R77" s="209"/>
      <c r="S77" s="257"/>
      <c r="T77" s="257"/>
      <c r="U77" s="209" t="s">
        <v>1429</v>
      </c>
      <c r="V77" s="209"/>
      <c r="W77" s="260" t="s">
        <v>179</v>
      </c>
      <c r="X77" s="209" t="s">
        <v>168</v>
      </c>
      <c r="Y77" s="260" t="s">
        <v>255</v>
      </c>
      <c r="Z77" s="209"/>
      <c r="AA77" s="313"/>
      <c r="AB77" s="248"/>
      <c r="AC77" s="192"/>
      <c r="AD77" s="192"/>
      <c r="AE77" s="192"/>
      <c r="AF77" s="193"/>
      <c r="AG77" s="208"/>
      <c r="AH77" s="208"/>
      <c r="AI77" s="193"/>
      <c r="AJ77" s="193"/>
      <c r="AK77" s="193"/>
      <c r="AL77" s="193"/>
      <c r="AM77" s="193"/>
      <c r="AN77" s="193"/>
      <c r="AO77" s="193"/>
      <c r="AP77" s="257"/>
      <c r="AQ77" s="208"/>
      <c r="AR77" s="208"/>
      <c r="AS77" s="209"/>
      <c r="AT77" s="209"/>
      <c r="AU77" s="209"/>
      <c r="AV77" s="209"/>
      <c r="AW77" s="209"/>
      <c r="AX77" s="209"/>
      <c r="AY77" s="209"/>
      <c r="AZ77" s="209"/>
      <c r="BA77" s="209"/>
      <c r="BB77" s="209"/>
      <c r="BC77" s="209"/>
      <c r="BD77" s="209"/>
      <c r="BE77" s="209"/>
      <c r="BF77" s="192">
        <v>45580</v>
      </c>
      <c r="BG77" s="209" t="s">
        <v>1485</v>
      </c>
    </row>
    <row r="78" spans="1:59" s="73" customFormat="1" ht="15.75" hidden="1" customHeight="1" x14ac:dyDescent="0.25">
      <c r="A78" s="193">
        <f>SUBTOTAL(3,$C$5:C78)</f>
        <v>0</v>
      </c>
      <c r="B78" s="181"/>
      <c r="C78" s="242" t="s">
        <v>926</v>
      </c>
      <c r="D78" s="242" t="s">
        <v>34</v>
      </c>
      <c r="E78" s="192">
        <v>33107</v>
      </c>
      <c r="F78" s="192"/>
      <c r="G78" s="257" t="s">
        <v>1430</v>
      </c>
      <c r="H78" s="191">
        <v>45149</v>
      </c>
      <c r="I78" s="203" t="s">
        <v>37</v>
      </c>
      <c r="J78" s="256" t="s">
        <v>1431</v>
      </c>
      <c r="K78" s="256" t="s">
        <v>1432</v>
      </c>
      <c r="L78" s="209"/>
      <c r="M78" s="209"/>
      <c r="N78" s="209"/>
      <c r="O78" s="253" t="s">
        <v>1433</v>
      </c>
      <c r="P78" s="253"/>
      <c r="Q78" s="209" t="s">
        <v>1434</v>
      </c>
      <c r="R78" s="209" t="s">
        <v>282</v>
      </c>
      <c r="S78" s="257" t="s">
        <v>1435</v>
      </c>
      <c r="T78" s="257"/>
      <c r="U78" s="209" t="s">
        <v>224</v>
      </c>
      <c r="V78" s="209"/>
      <c r="W78" s="205" t="s">
        <v>179</v>
      </c>
      <c r="X78" s="209" t="s">
        <v>290</v>
      </c>
      <c r="Y78" s="260" t="s">
        <v>140</v>
      </c>
      <c r="Z78" s="209" t="s">
        <v>1436</v>
      </c>
      <c r="AA78" s="313"/>
      <c r="AB78" s="248">
        <v>45558</v>
      </c>
      <c r="AC78" s="192">
        <v>45619</v>
      </c>
      <c r="AD78" s="192"/>
      <c r="AE78" s="192"/>
      <c r="AF78" s="193"/>
      <c r="AG78" s="208"/>
      <c r="AH78" s="208"/>
      <c r="AI78" s="193"/>
      <c r="AJ78" s="193"/>
      <c r="AK78" s="193"/>
      <c r="AL78" s="193"/>
      <c r="AM78" s="193"/>
      <c r="AN78" s="193"/>
      <c r="AO78" s="193"/>
      <c r="AP78" s="257">
        <v>0</v>
      </c>
      <c r="AQ78" s="208"/>
      <c r="AR78" s="208"/>
      <c r="AS78" s="209" t="s">
        <v>1437</v>
      </c>
      <c r="AT78" s="209"/>
      <c r="AU78" s="209"/>
      <c r="AV78" s="209"/>
      <c r="AW78" s="209"/>
      <c r="AX78" s="209"/>
      <c r="AY78" s="209"/>
      <c r="AZ78" s="209"/>
      <c r="BA78" s="209"/>
      <c r="BB78" s="209"/>
      <c r="BC78" s="209"/>
      <c r="BD78" s="209"/>
      <c r="BE78" s="209"/>
      <c r="BF78" s="192">
        <v>45611</v>
      </c>
      <c r="BG78" s="209" t="s">
        <v>1486</v>
      </c>
    </row>
    <row r="79" spans="1:59" s="73" customFormat="1" ht="15.75" hidden="1" customHeight="1" x14ac:dyDescent="0.25">
      <c r="A79" s="193">
        <f>SUBTOTAL(3,$C$5:C79)</f>
        <v>0</v>
      </c>
      <c r="B79" s="181"/>
      <c r="C79" s="242" t="s">
        <v>906</v>
      </c>
      <c r="D79" s="242" t="s">
        <v>34</v>
      </c>
      <c r="E79" s="248">
        <v>33239</v>
      </c>
      <c r="F79" s="248"/>
      <c r="G79" s="245" t="s">
        <v>1438</v>
      </c>
      <c r="H79" s="248">
        <v>44607</v>
      </c>
      <c r="I79" s="203" t="s">
        <v>37</v>
      </c>
      <c r="J79" s="209" t="s">
        <v>1439</v>
      </c>
      <c r="K79" s="209"/>
      <c r="L79" s="209"/>
      <c r="M79" s="209"/>
      <c r="N79" s="209"/>
      <c r="O79" s="244" t="s">
        <v>1440</v>
      </c>
      <c r="P79" s="244"/>
      <c r="Q79" s="242" t="s">
        <v>1441</v>
      </c>
      <c r="R79" s="242"/>
      <c r="S79" s="245" t="s">
        <v>1442</v>
      </c>
      <c r="T79" s="245"/>
      <c r="U79" s="209" t="s">
        <v>771</v>
      </c>
      <c r="V79" s="209"/>
      <c r="W79" s="199" t="s">
        <v>1443</v>
      </c>
      <c r="X79" s="209" t="s">
        <v>168</v>
      </c>
      <c r="Y79" s="196" t="s">
        <v>1141</v>
      </c>
      <c r="Z79" s="196" t="s">
        <v>1444</v>
      </c>
      <c r="AA79" s="196" t="s">
        <v>1445</v>
      </c>
      <c r="AB79" s="192">
        <v>45239</v>
      </c>
      <c r="AC79" s="192">
        <v>45269</v>
      </c>
      <c r="AD79" s="193">
        <v>0</v>
      </c>
      <c r="AE79" s="193"/>
      <c r="AF79" s="193"/>
      <c r="AG79" s="193"/>
      <c r="AH79" s="193"/>
      <c r="AI79" s="193"/>
      <c r="AJ79" s="193"/>
      <c r="AK79" s="193"/>
      <c r="AL79" s="193"/>
      <c r="AM79" s="193"/>
      <c r="AN79" s="193"/>
      <c r="AO79" s="193"/>
      <c r="AP79" s="203" t="s">
        <v>444</v>
      </c>
      <c r="AQ79" s="193"/>
      <c r="AR79" s="193"/>
      <c r="AS79" s="208"/>
      <c r="AT79" s="208"/>
      <c r="AU79" s="209"/>
      <c r="AV79" s="209"/>
      <c r="AW79" s="209"/>
      <c r="AX79" s="209"/>
      <c r="AY79" s="209"/>
      <c r="AZ79" s="209"/>
      <c r="BA79" s="209"/>
      <c r="BB79" s="209"/>
      <c r="BC79" s="209"/>
      <c r="BD79" s="209"/>
      <c r="BE79" s="209"/>
      <c r="BF79" s="192">
        <v>45594</v>
      </c>
      <c r="BG79" s="195" t="s">
        <v>1446</v>
      </c>
    </row>
    <row r="80" spans="1:59" s="73" customFormat="1" ht="15.75" hidden="1" customHeight="1" x14ac:dyDescent="0.25">
      <c r="A80" s="193">
        <f>SUBTOTAL(3,$C$5:C80)</f>
        <v>0</v>
      </c>
      <c r="B80" s="181"/>
      <c r="C80" s="242" t="s">
        <v>935</v>
      </c>
      <c r="D80" s="242" t="s">
        <v>34</v>
      </c>
      <c r="E80" s="192">
        <v>29115</v>
      </c>
      <c r="F80" s="192"/>
      <c r="G80" s="184"/>
      <c r="H80" s="255"/>
      <c r="I80" s="191"/>
      <c r="J80" s="256"/>
      <c r="K80" s="256"/>
      <c r="L80" s="256"/>
      <c r="M80" s="209"/>
      <c r="N80" s="209"/>
      <c r="O80" s="209"/>
      <c r="P80" s="209"/>
      <c r="Q80" s="253"/>
      <c r="R80" s="209"/>
      <c r="S80" s="209"/>
      <c r="T80" s="209"/>
      <c r="U80" s="259" t="s">
        <v>224</v>
      </c>
      <c r="V80" s="257"/>
      <c r="W80" s="205" t="s">
        <v>179</v>
      </c>
      <c r="X80" s="209" t="s">
        <v>290</v>
      </c>
      <c r="Y80" s="253"/>
      <c r="Z80" s="209"/>
      <c r="AA80" s="260"/>
      <c r="AB80" s="260"/>
      <c r="AC80" s="260"/>
      <c r="AD80" s="192"/>
      <c r="AE80" s="192"/>
      <c r="AF80" s="192"/>
      <c r="AG80" s="193"/>
      <c r="AH80" s="193"/>
      <c r="AI80" s="193"/>
      <c r="AJ80" s="193"/>
      <c r="AK80" s="193"/>
      <c r="AL80" s="193"/>
      <c r="AM80" s="193"/>
      <c r="AN80" s="193"/>
      <c r="AO80" s="193"/>
      <c r="AP80" s="257"/>
      <c r="AQ80" s="193"/>
      <c r="AR80" s="193"/>
      <c r="AS80" s="193"/>
      <c r="AT80" s="193"/>
      <c r="AU80" s="209"/>
      <c r="AV80" s="209"/>
      <c r="AW80" s="209"/>
      <c r="AX80" s="209"/>
      <c r="AY80" s="209"/>
      <c r="AZ80" s="209"/>
      <c r="BA80" s="209"/>
      <c r="BB80" s="209"/>
      <c r="BC80" s="209"/>
      <c r="BD80" s="209"/>
      <c r="BE80" s="209"/>
      <c r="BF80" s="192">
        <v>45650</v>
      </c>
      <c r="BG80" s="321" t="s">
        <v>1785</v>
      </c>
    </row>
    <row r="81" spans="1:59" s="73" customFormat="1" ht="15.75" customHeight="1" x14ac:dyDescent="0.25">
      <c r="A81" s="193">
        <f>SUBTOTAL(3,$C$5:C81)</f>
        <v>1</v>
      </c>
      <c r="B81" s="209"/>
      <c r="C81" s="242" t="s">
        <v>700</v>
      </c>
      <c r="D81" s="242" t="s">
        <v>34</v>
      </c>
      <c r="E81" s="192">
        <v>27484</v>
      </c>
      <c r="F81" s="237"/>
      <c r="G81" s="257" t="s">
        <v>1504</v>
      </c>
      <c r="H81" s="191">
        <v>44387</v>
      </c>
      <c r="I81" s="203" t="s">
        <v>37</v>
      </c>
      <c r="J81" s="256" t="s">
        <v>1505</v>
      </c>
      <c r="K81" s="256" t="s">
        <v>1516</v>
      </c>
      <c r="L81" s="209"/>
      <c r="M81" s="209"/>
      <c r="N81" s="209"/>
      <c r="O81" s="253" t="s">
        <v>1529</v>
      </c>
      <c r="P81" s="226"/>
      <c r="Q81" s="209" t="s">
        <v>1530</v>
      </c>
      <c r="R81" s="209" t="s">
        <v>71</v>
      </c>
      <c r="S81" s="257" t="s">
        <v>1542</v>
      </c>
      <c r="T81" s="222" t="s">
        <v>74</v>
      </c>
      <c r="U81" s="209" t="s">
        <v>1543</v>
      </c>
      <c r="V81" s="209"/>
      <c r="W81" s="253" t="s">
        <v>179</v>
      </c>
      <c r="X81" s="209" t="s">
        <v>62</v>
      </c>
      <c r="Y81" s="260" t="s">
        <v>255</v>
      </c>
      <c r="Z81" s="260" t="s">
        <v>1551</v>
      </c>
      <c r="AA81" s="261" t="s">
        <v>1562</v>
      </c>
      <c r="AB81" s="239">
        <v>45768</v>
      </c>
      <c r="AC81" s="192">
        <v>45768</v>
      </c>
      <c r="AD81" s="192">
        <v>45768</v>
      </c>
      <c r="AE81" s="239"/>
      <c r="AF81" s="193" t="s">
        <v>1571</v>
      </c>
      <c r="AG81" s="193"/>
      <c r="AH81" s="193"/>
      <c r="AI81" s="193"/>
      <c r="AJ81" s="193"/>
      <c r="AK81" s="193"/>
      <c r="AL81" s="193"/>
      <c r="AM81" s="193"/>
      <c r="AN81" s="193"/>
      <c r="AO81" s="193"/>
      <c r="AP81" s="257" t="s">
        <v>1531</v>
      </c>
      <c r="AQ81" s="208">
        <v>5308000</v>
      </c>
      <c r="AR81" s="193"/>
      <c r="AS81" s="193"/>
      <c r="AT81" s="193"/>
      <c r="AU81" s="209"/>
      <c r="AV81" s="209"/>
      <c r="AW81" s="209"/>
      <c r="AX81" s="209"/>
      <c r="AY81" s="209"/>
      <c r="AZ81" s="209"/>
      <c r="BA81" s="209"/>
      <c r="BB81" s="209"/>
      <c r="BC81" s="209"/>
      <c r="BD81" s="209"/>
      <c r="BE81" s="209"/>
      <c r="BF81" s="192">
        <v>45829</v>
      </c>
      <c r="BG81" s="209" t="s">
        <v>1776</v>
      </c>
    </row>
    <row r="82" spans="1:59" s="73" customFormat="1" ht="13.2" x14ac:dyDescent="0.25">
      <c r="A82" s="193">
        <f>SUBTOTAL(3,$C$5:C82)</f>
        <v>2</v>
      </c>
      <c r="B82" s="181">
        <v>28</v>
      </c>
      <c r="C82" s="199" t="s">
        <v>358</v>
      </c>
      <c r="D82" s="199" t="s">
        <v>34</v>
      </c>
      <c r="E82" s="206">
        <v>31807</v>
      </c>
      <c r="F82" s="200"/>
      <c r="G82" s="194" t="s">
        <v>359</v>
      </c>
      <c r="H82" s="185">
        <v>44840</v>
      </c>
      <c r="I82" s="203" t="s">
        <v>37</v>
      </c>
      <c r="J82" s="199" t="s">
        <v>360</v>
      </c>
      <c r="K82" s="199" t="s">
        <v>361</v>
      </c>
      <c r="L82" s="199" t="s">
        <v>362</v>
      </c>
      <c r="M82" s="199" t="s">
        <v>52</v>
      </c>
      <c r="N82" s="199" t="s">
        <v>41</v>
      </c>
      <c r="O82" s="201" t="s">
        <v>363</v>
      </c>
      <c r="P82" s="226"/>
      <c r="Q82" s="202" t="s">
        <v>364</v>
      </c>
      <c r="R82" s="202" t="s">
        <v>71</v>
      </c>
      <c r="S82" s="211" t="s">
        <v>366</v>
      </c>
      <c r="T82" s="246" t="s">
        <v>74</v>
      </c>
      <c r="U82" s="199" t="s">
        <v>367</v>
      </c>
      <c r="V82" s="209"/>
      <c r="W82" s="205" t="s">
        <v>368</v>
      </c>
      <c r="X82" s="199" t="s">
        <v>369</v>
      </c>
      <c r="Y82" s="205" t="s">
        <v>74</v>
      </c>
      <c r="Z82" s="205"/>
      <c r="AA82" s="199" t="s">
        <v>370</v>
      </c>
      <c r="AB82" s="191">
        <v>43556</v>
      </c>
      <c r="AC82" s="192">
        <v>43617</v>
      </c>
      <c r="AD82" s="206">
        <v>43587</v>
      </c>
      <c r="AE82" s="191"/>
      <c r="AF82" s="193" t="str">
        <f>VLOOKUP(C82,'[1]T03.2024'!$B$8:$O$58,14,0)</f>
        <v>T06/2019</v>
      </c>
      <c r="AG82" s="193" t="s">
        <v>371</v>
      </c>
      <c r="AH82" s="193"/>
      <c r="AI82" s="193"/>
      <c r="AJ82" s="193"/>
      <c r="AK82" s="193"/>
      <c r="AL82" s="193"/>
      <c r="AM82" s="193"/>
      <c r="AN82" s="193"/>
      <c r="AO82" s="193"/>
      <c r="AP82" s="211" t="s">
        <v>365</v>
      </c>
      <c r="AQ82" s="208">
        <v>4473000</v>
      </c>
      <c r="AR82" s="193"/>
      <c r="AS82" s="209"/>
      <c r="AT82" s="193"/>
      <c r="AU82" s="209"/>
      <c r="AV82" s="209"/>
      <c r="AW82" s="209"/>
      <c r="AX82" s="209"/>
      <c r="AY82" s="209"/>
      <c r="AZ82" s="209"/>
      <c r="BA82" s="209"/>
      <c r="BB82" s="209"/>
      <c r="BC82" s="209"/>
      <c r="BD82" s="209"/>
      <c r="BE82" s="209"/>
      <c r="BF82" s="192">
        <v>45383</v>
      </c>
      <c r="BG82" s="209" t="s">
        <v>1777</v>
      </c>
    </row>
    <row r="83" spans="1:59" s="73" customFormat="1" ht="15.75" customHeight="1" x14ac:dyDescent="0.25">
      <c r="A83" s="193">
        <f>SUBTOTAL(3,$C$5:C83)</f>
        <v>3</v>
      </c>
      <c r="B83" s="181">
        <v>47</v>
      </c>
      <c r="C83" s="242" t="s">
        <v>552</v>
      </c>
      <c r="D83" s="242" t="s">
        <v>34</v>
      </c>
      <c r="E83" s="248">
        <v>31980</v>
      </c>
      <c r="F83" s="243"/>
      <c r="G83" s="245" t="s">
        <v>553</v>
      </c>
      <c r="H83" s="248">
        <v>44418</v>
      </c>
      <c r="I83" s="203" t="s">
        <v>37</v>
      </c>
      <c r="J83" s="242" t="s">
        <v>554</v>
      </c>
      <c r="K83" s="242" t="s">
        <v>555</v>
      </c>
      <c r="L83" s="242" t="s">
        <v>556</v>
      </c>
      <c r="M83" s="209" t="s">
        <v>557</v>
      </c>
      <c r="N83" s="209" t="s">
        <v>558</v>
      </c>
      <c r="O83" s="244" t="s">
        <v>559</v>
      </c>
      <c r="P83" s="226"/>
      <c r="Q83" s="242" t="s">
        <v>560</v>
      </c>
      <c r="R83" s="242" t="s">
        <v>204</v>
      </c>
      <c r="S83" s="247">
        <v>8621944848</v>
      </c>
      <c r="T83" s="196" t="s">
        <v>74</v>
      </c>
      <c r="U83" s="242" t="s">
        <v>224</v>
      </c>
      <c r="V83" s="209"/>
      <c r="W83" s="199" t="s">
        <v>179</v>
      </c>
      <c r="X83" s="242" t="s">
        <v>286</v>
      </c>
      <c r="Y83" s="196" t="s">
        <v>255</v>
      </c>
      <c r="Z83" s="246"/>
      <c r="AA83" s="242" t="s">
        <v>562</v>
      </c>
      <c r="AB83" s="248">
        <v>44998</v>
      </c>
      <c r="AC83" s="192">
        <v>45017</v>
      </c>
      <c r="AD83" s="248">
        <v>44998</v>
      </c>
      <c r="AE83" s="248"/>
      <c r="AF83" s="193" t="str">
        <f>VLOOKUP(C83,'[1]T03.2024'!$B$8:$O$58,14,0)</f>
        <v>T04/2023</v>
      </c>
      <c r="AG83" s="193" t="s">
        <v>563</v>
      </c>
      <c r="AH83" s="193"/>
      <c r="AI83" s="193"/>
      <c r="AJ83" s="193"/>
      <c r="AK83" s="193"/>
      <c r="AL83" s="193"/>
      <c r="AM83" s="193"/>
      <c r="AN83" s="193"/>
      <c r="AO83" s="193"/>
      <c r="AP83" s="245" t="s">
        <v>561</v>
      </c>
      <c r="AQ83" s="208">
        <v>5008000</v>
      </c>
      <c r="AR83" s="193"/>
      <c r="AS83" s="209"/>
      <c r="AT83" s="193"/>
      <c r="AU83" s="209"/>
      <c r="AV83" s="209"/>
      <c r="AW83" s="209"/>
      <c r="AX83" s="209"/>
      <c r="AY83" s="209"/>
      <c r="AZ83" s="209"/>
      <c r="BA83" s="209"/>
      <c r="BB83" s="209"/>
      <c r="BC83" s="209"/>
      <c r="BD83" s="209"/>
      <c r="BE83" s="209"/>
      <c r="BF83" s="192">
        <v>45839</v>
      </c>
      <c r="BG83" s="209" t="s">
        <v>1781</v>
      </c>
    </row>
    <row r="84" spans="1:59" s="73" customFormat="1" ht="15.75" customHeight="1" x14ac:dyDescent="0.25">
      <c r="A84" s="193">
        <f>SUBTOTAL(3,$C$5:C84)</f>
        <v>4</v>
      </c>
      <c r="B84" s="181">
        <v>54</v>
      </c>
      <c r="C84" s="242" t="s">
        <v>587</v>
      </c>
      <c r="D84" s="242" t="s">
        <v>34</v>
      </c>
      <c r="E84" s="192">
        <v>35440</v>
      </c>
      <c r="F84" s="237"/>
      <c r="G84" s="257" t="s">
        <v>588</v>
      </c>
      <c r="H84" s="191">
        <v>44649</v>
      </c>
      <c r="I84" s="203" t="s">
        <v>37</v>
      </c>
      <c r="J84" s="226" t="s">
        <v>589</v>
      </c>
      <c r="K84" s="256" t="s">
        <v>590</v>
      </c>
      <c r="L84" s="209" t="s">
        <v>591</v>
      </c>
      <c r="M84" s="209" t="s">
        <v>592</v>
      </c>
      <c r="N84" s="209" t="s">
        <v>593</v>
      </c>
      <c r="O84" s="253" t="s">
        <v>594</v>
      </c>
      <c r="P84" s="226"/>
      <c r="Q84" s="209" t="s">
        <v>595</v>
      </c>
      <c r="R84" s="226" t="s">
        <v>71</v>
      </c>
      <c r="S84" s="193">
        <v>9621265242</v>
      </c>
      <c r="T84" s="222" t="s">
        <v>74</v>
      </c>
      <c r="U84" s="226" t="s">
        <v>254</v>
      </c>
      <c r="V84" s="209"/>
      <c r="W84" s="226" t="s">
        <v>179</v>
      </c>
      <c r="X84" s="196" t="s">
        <v>597</v>
      </c>
      <c r="Y84" s="196" t="s">
        <v>255</v>
      </c>
      <c r="Z84" s="196"/>
      <c r="AA84" s="209" t="s">
        <v>598</v>
      </c>
      <c r="AB84" s="192">
        <v>45100</v>
      </c>
      <c r="AC84" s="192">
        <v>45161</v>
      </c>
      <c r="AD84" s="192">
        <v>45161</v>
      </c>
      <c r="AE84" s="192"/>
      <c r="AF84" s="193" t="str">
        <f>VLOOKUP(C84,'[1]T03.2024'!$B$8:$O$58,14,0)</f>
        <v>T09/2023</v>
      </c>
      <c r="AG84" s="193" t="s">
        <v>599</v>
      </c>
      <c r="AH84" s="193"/>
      <c r="AI84" s="193"/>
      <c r="AJ84" s="193"/>
      <c r="AK84" s="193"/>
      <c r="AL84" s="193"/>
      <c r="AM84" s="193"/>
      <c r="AN84" s="193"/>
      <c r="AO84" s="193"/>
      <c r="AP84" s="257" t="s">
        <v>596</v>
      </c>
      <c r="AQ84" s="208">
        <v>5008000</v>
      </c>
      <c r="AR84" s="193"/>
      <c r="AS84" s="209"/>
      <c r="AT84" s="193"/>
      <c r="AU84" s="209"/>
      <c r="AV84" s="209"/>
      <c r="AW84" s="209"/>
      <c r="AX84" s="209"/>
      <c r="AY84" s="209"/>
      <c r="AZ84" s="209"/>
      <c r="BA84" s="209"/>
      <c r="BB84" s="209"/>
      <c r="BC84" s="209"/>
      <c r="BD84" s="209"/>
      <c r="BE84" s="209"/>
      <c r="BF84" s="192">
        <v>45810</v>
      </c>
      <c r="BG84" s="209" t="s">
        <v>1779</v>
      </c>
    </row>
    <row r="85" spans="1:59" s="73" customFormat="1" ht="15.75" customHeight="1" x14ac:dyDescent="0.25">
      <c r="A85" s="193">
        <f>SUBTOTAL(3,$C$5:C85)</f>
        <v>5</v>
      </c>
      <c r="B85" s="181">
        <v>60</v>
      </c>
      <c r="C85" s="242" t="s">
        <v>631</v>
      </c>
      <c r="D85" s="242" t="s">
        <v>34</v>
      </c>
      <c r="E85" s="192">
        <v>33082</v>
      </c>
      <c r="F85" s="237"/>
      <c r="G85" s="257" t="s">
        <v>632</v>
      </c>
      <c r="H85" s="191">
        <v>44267</v>
      </c>
      <c r="I85" s="203" t="s">
        <v>37</v>
      </c>
      <c r="J85" s="226" t="s">
        <v>633</v>
      </c>
      <c r="K85" s="256" t="s">
        <v>634</v>
      </c>
      <c r="L85" s="209" t="s">
        <v>635</v>
      </c>
      <c r="M85" s="209" t="s">
        <v>636</v>
      </c>
      <c r="N85" s="209" t="s">
        <v>41</v>
      </c>
      <c r="O85" s="253" t="s">
        <v>637</v>
      </c>
      <c r="P85" s="226"/>
      <c r="Q85" s="209" t="s">
        <v>638</v>
      </c>
      <c r="R85" s="226" t="s">
        <v>71</v>
      </c>
      <c r="S85" s="193">
        <v>9794789177</v>
      </c>
      <c r="T85" s="222" t="s">
        <v>74</v>
      </c>
      <c r="U85" s="226" t="s">
        <v>207</v>
      </c>
      <c r="V85" s="209"/>
      <c r="W85" s="226" t="s">
        <v>179</v>
      </c>
      <c r="X85" s="196" t="s">
        <v>395</v>
      </c>
      <c r="Y85" s="196" t="s">
        <v>255</v>
      </c>
      <c r="Z85" s="196"/>
      <c r="AA85" s="223" t="s">
        <v>640</v>
      </c>
      <c r="AB85" s="192">
        <v>45153</v>
      </c>
      <c r="AC85" s="192">
        <v>45214</v>
      </c>
      <c r="AD85" s="192">
        <v>45214</v>
      </c>
      <c r="AE85" s="192"/>
      <c r="AF85" s="193" t="str">
        <f>VLOOKUP(C85,'[1]T03.2024'!$B$8:$O$58,14,0)</f>
        <v>T10/2023</v>
      </c>
      <c r="AG85" s="193" t="s">
        <v>641</v>
      </c>
      <c r="AH85" s="193"/>
      <c r="AI85" s="193"/>
      <c r="AJ85" s="193"/>
      <c r="AK85" s="193"/>
      <c r="AL85" s="193"/>
      <c r="AM85" s="193"/>
      <c r="AN85" s="193"/>
      <c r="AO85" s="193"/>
      <c r="AP85" s="257" t="s">
        <v>639</v>
      </c>
      <c r="AQ85" s="208">
        <v>5008000</v>
      </c>
      <c r="AR85" s="193"/>
      <c r="AS85" s="209"/>
      <c r="AT85" s="193"/>
      <c r="AU85" s="209"/>
      <c r="AV85" s="209"/>
      <c r="AW85" s="209"/>
      <c r="AX85" s="209"/>
      <c r="AY85" s="209"/>
      <c r="AZ85" s="209"/>
      <c r="BA85" s="209"/>
      <c r="BB85" s="209"/>
      <c r="BC85" s="209"/>
      <c r="BD85" s="209"/>
      <c r="BE85" s="209"/>
      <c r="BF85" s="192">
        <v>45870</v>
      </c>
      <c r="BG85" s="209" t="s">
        <v>1782</v>
      </c>
    </row>
    <row r="86" spans="1:59" s="73" customFormat="1" ht="18.600000000000001" customHeight="1" x14ac:dyDescent="0.25">
      <c r="A86" s="193">
        <f>SUBTOTAL(3,$C$5:C86)</f>
        <v>6</v>
      </c>
      <c r="B86" s="181">
        <v>64</v>
      </c>
      <c r="C86" s="242" t="s">
        <v>654</v>
      </c>
      <c r="D86" s="242" t="s">
        <v>34</v>
      </c>
      <c r="E86" s="192">
        <v>32567</v>
      </c>
      <c r="F86" s="237"/>
      <c r="G86" s="257" t="s">
        <v>655</v>
      </c>
      <c r="H86" s="191">
        <v>44697</v>
      </c>
      <c r="I86" s="203" t="s">
        <v>37</v>
      </c>
      <c r="J86" s="209" t="s">
        <v>656</v>
      </c>
      <c r="K86" s="209"/>
      <c r="L86" s="209"/>
      <c r="M86" s="209"/>
      <c r="N86" s="209"/>
      <c r="O86" s="240" t="s">
        <v>657</v>
      </c>
      <c r="P86" s="226"/>
      <c r="Q86" s="209"/>
      <c r="R86" s="209"/>
      <c r="S86" s="203">
        <v>5221391020</v>
      </c>
      <c r="T86" s="260" t="s">
        <v>89</v>
      </c>
      <c r="U86" s="226" t="s">
        <v>395</v>
      </c>
      <c r="V86" s="209"/>
      <c r="W86" s="199" t="s">
        <v>179</v>
      </c>
      <c r="X86" s="209" t="s">
        <v>646</v>
      </c>
      <c r="Y86" s="196" t="s">
        <v>255</v>
      </c>
      <c r="Z86" s="196"/>
      <c r="AA86" s="209"/>
      <c r="AB86" s="192">
        <v>45208</v>
      </c>
      <c r="AC86" s="192">
        <v>45269</v>
      </c>
      <c r="AD86" s="192">
        <v>45269</v>
      </c>
      <c r="AE86" s="192"/>
      <c r="AF86" s="193" t="str">
        <f>VLOOKUP(C86,'[1]T03.2024'!$B$8:$O$58,14,0)</f>
        <v>T12/2023</v>
      </c>
      <c r="AG86" s="193" t="s">
        <v>658</v>
      </c>
      <c r="AH86" s="193"/>
      <c r="AI86" s="193"/>
      <c r="AJ86" s="193"/>
      <c r="AK86" s="193"/>
      <c r="AL86" s="193"/>
      <c r="AM86" s="193"/>
      <c r="AN86" s="193"/>
      <c r="AO86" s="193"/>
      <c r="AP86" s="203"/>
      <c r="AQ86" s="208">
        <v>5008000</v>
      </c>
      <c r="AR86" s="193"/>
      <c r="AS86" s="209"/>
      <c r="AT86" s="193"/>
      <c r="AU86" s="209"/>
      <c r="AV86" s="209"/>
      <c r="AW86" s="209"/>
      <c r="AX86" s="209"/>
      <c r="AY86" s="209"/>
      <c r="AZ86" s="209"/>
      <c r="BA86" s="209"/>
      <c r="BB86" s="209"/>
      <c r="BC86" s="209"/>
      <c r="BD86" s="209"/>
      <c r="BE86" s="209"/>
      <c r="BF86" s="192">
        <v>45819</v>
      </c>
      <c r="BG86" s="209" t="s">
        <v>1780</v>
      </c>
    </row>
    <row r="87" spans="1:59" s="73" customFormat="1" ht="18.600000000000001" customHeight="1" x14ac:dyDescent="0.25">
      <c r="A87" s="193">
        <f>SUBTOTAL(3,$C$5:C87)</f>
        <v>7</v>
      </c>
      <c r="B87" s="181">
        <v>67</v>
      </c>
      <c r="C87" s="242" t="s">
        <v>659</v>
      </c>
      <c r="D87" s="242" t="s">
        <v>34</v>
      </c>
      <c r="E87" s="192">
        <v>34296</v>
      </c>
      <c r="F87" s="237"/>
      <c r="G87" s="257" t="s">
        <v>660</v>
      </c>
      <c r="H87" s="191">
        <v>44522</v>
      </c>
      <c r="I87" s="203" t="s">
        <v>37</v>
      </c>
      <c r="J87" s="256" t="s">
        <v>661</v>
      </c>
      <c r="K87" s="209" t="s">
        <v>661</v>
      </c>
      <c r="L87" s="209"/>
      <c r="M87" s="209"/>
      <c r="N87" s="209"/>
      <c r="O87" s="253" t="s">
        <v>662</v>
      </c>
      <c r="P87" s="226"/>
      <c r="Q87" s="209" t="s">
        <v>663</v>
      </c>
      <c r="R87" s="209" t="s">
        <v>664</v>
      </c>
      <c r="S87" s="238" t="s">
        <v>666</v>
      </c>
      <c r="T87" s="209"/>
      <c r="U87" s="209" t="s">
        <v>667</v>
      </c>
      <c r="V87" s="209"/>
      <c r="W87" s="260" t="s">
        <v>89</v>
      </c>
      <c r="X87" s="209" t="s">
        <v>46</v>
      </c>
      <c r="Y87" s="236" t="s">
        <v>140</v>
      </c>
      <c r="Z87" s="236"/>
      <c r="AA87" s="209" t="s">
        <v>668</v>
      </c>
      <c r="AB87" s="192">
        <v>45390</v>
      </c>
      <c r="AC87" s="192">
        <v>45597</v>
      </c>
      <c r="AD87" s="192">
        <v>45420</v>
      </c>
      <c r="AE87" s="192"/>
      <c r="AF87" s="193" t="s">
        <v>669</v>
      </c>
      <c r="AG87" s="193"/>
      <c r="AH87" s="193"/>
      <c r="AI87" s="193"/>
      <c r="AJ87" s="193"/>
      <c r="AK87" s="193"/>
      <c r="AL87" s="193"/>
      <c r="AM87" s="193"/>
      <c r="AN87" s="193"/>
      <c r="AO87" s="193"/>
      <c r="AP87" s="257" t="s">
        <v>665</v>
      </c>
      <c r="AQ87" s="208">
        <v>5308000</v>
      </c>
      <c r="AR87" s="193"/>
      <c r="AS87" s="209"/>
      <c r="AT87" s="193"/>
      <c r="AU87" s="209"/>
      <c r="AV87" s="209"/>
      <c r="AW87" s="209"/>
      <c r="AX87" s="209"/>
      <c r="AY87" s="209"/>
      <c r="AZ87" s="209"/>
      <c r="BA87" s="209"/>
      <c r="BB87" s="209"/>
      <c r="BC87" s="209"/>
      <c r="BD87" s="209"/>
      <c r="BE87" s="209"/>
      <c r="BF87" s="192">
        <v>45916</v>
      </c>
      <c r="BG87" s="209" t="s">
        <v>1418</v>
      </c>
    </row>
    <row r="88" spans="1:59" s="73" customFormat="1" ht="18.600000000000001" customHeight="1" x14ac:dyDescent="0.25">
      <c r="A88" s="193">
        <f>SUBTOTAL(3,$C$5:C88)</f>
        <v>8</v>
      </c>
      <c r="B88" s="181">
        <v>71</v>
      </c>
      <c r="C88" s="242" t="s">
        <v>700</v>
      </c>
      <c r="D88" s="242" t="s">
        <v>34</v>
      </c>
      <c r="E88" s="192">
        <v>37554</v>
      </c>
      <c r="F88" s="237"/>
      <c r="G88" s="257" t="s">
        <v>701</v>
      </c>
      <c r="H88" s="191">
        <v>44557</v>
      </c>
      <c r="I88" s="203" t="s">
        <v>37</v>
      </c>
      <c r="J88" s="256" t="s">
        <v>702</v>
      </c>
      <c r="K88" s="256" t="s">
        <v>703</v>
      </c>
      <c r="L88" s="209"/>
      <c r="M88" s="209"/>
      <c r="N88" s="209"/>
      <c r="O88" s="253" t="s">
        <v>704</v>
      </c>
      <c r="P88" s="226"/>
      <c r="Q88" s="209" t="s">
        <v>705</v>
      </c>
      <c r="R88" s="209" t="s">
        <v>706</v>
      </c>
      <c r="S88" s="257">
        <v>5221012863</v>
      </c>
      <c r="T88" s="257"/>
      <c r="U88" s="209" t="s">
        <v>708</v>
      </c>
      <c r="V88" s="209"/>
      <c r="W88" s="253" t="s">
        <v>89</v>
      </c>
      <c r="X88" s="209" t="s">
        <v>659</v>
      </c>
      <c r="Y88" s="260" t="s">
        <v>140</v>
      </c>
      <c r="Z88" s="209" t="s">
        <v>584</v>
      </c>
      <c r="AA88" s="260" t="s">
        <v>709</v>
      </c>
      <c r="AB88" s="192">
        <v>45516</v>
      </c>
      <c r="AC88" s="192">
        <v>45577</v>
      </c>
      <c r="AD88" s="192">
        <v>45577</v>
      </c>
      <c r="AE88" s="192"/>
      <c r="AF88" s="193" t="s">
        <v>698</v>
      </c>
      <c r="AG88" s="193"/>
      <c r="AH88" s="193"/>
      <c r="AI88" s="193"/>
      <c r="AJ88" s="193"/>
      <c r="AK88" s="193"/>
      <c r="AL88" s="193"/>
      <c r="AM88" s="193"/>
      <c r="AN88" s="193"/>
      <c r="AO88" s="193"/>
      <c r="AP88" s="257" t="s">
        <v>707</v>
      </c>
      <c r="AQ88" s="208">
        <v>5308000</v>
      </c>
      <c r="AR88" s="193"/>
      <c r="AS88" s="209"/>
      <c r="AT88" s="193"/>
      <c r="AU88" s="209"/>
      <c r="AV88" s="209"/>
      <c r="AW88" s="209"/>
      <c r="AX88" s="209"/>
      <c r="AY88" s="209"/>
      <c r="AZ88" s="209"/>
      <c r="BA88" s="209"/>
      <c r="BB88" s="209"/>
      <c r="BC88" s="209"/>
      <c r="BD88" s="209"/>
      <c r="BE88" s="209"/>
      <c r="BF88" s="192">
        <v>45789</v>
      </c>
      <c r="BG88" s="209" t="s">
        <v>1778</v>
      </c>
    </row>
    <row r="89" spans="1:59" s="73" customFormat="1" ht="18.600000000000001" customHeight="1" x14ac:dyDescent="0.25">
      <c r="A89" s="193">
        <f>SUBTOTAL(3,$C$5:C89)</f>
        <v>9</v>
      </c>
      <c r="B89" s="198" t="s">
        <v>1755</v>
      </c>
      <c r="C89" s="242" t="s">
        <v>1594</v>
      </c>
      <c r="D89" s="242" t="s">
        <v>34</v>
      </c>
      <c r="E89" s="192">
        <v>34079</v>
      </c>
      <c r="F89" s="184">
        <f>MONTH(E89)</f>
        <v>4</v>
      </c>
      <c r="G89" s="257" t="s">
        <v>1627</v>
      </c>
      <c r="H89" s="191">
        <v>44511</v>
      </c>
      <c r="I89" s="203" t="s">
        <v>37</v>
      </c>
      <c r="J89" s="256" t="s">
        <v>1628</v>
      </c>
      <c r="K89" s="256" t="s">
        <v>1629</v>
      </c>
      <c r="L89" s="209"/>
      <c r="M89" s="209"/>
      <c r="N89" s="209"/>
      <c r="O89" s="253" t="s">
        <v>1631</v>
      </c>
      <c r="P89" s="253"/>
      <c r="Q89" s="209" t="s">
        <v>1630</v>
      </c>
      <c r="R89" s="209" t="s">
        <v>71</v>
      </c>
      <c r="S89" s="257" t="s">
        <v>1632</v>
      </c>
      <c r="T89" s="209"/>
      <c r="U89" s="209" t="s">
        <v>224</v>
      </c>
      <c r="V89" s="226" t="s">
        <v>1152</v>
      </c>
      <c r="W89" s="253" t="s">
        <v>179</v>
      </c>
      <c r="X89" s="209"/>
      <c r="Y89" s="260" t="s">
        <v>255</v>
      </c>
      <c r="Z89" s="260" t="s">
        <v>1634</v>
      </c>
      <c r="AA89" s="261" t="s">
        <v>1635</v>
      </c>
      <c r="AB89" s="239">
        <v>45866</v>
      </c>
      <c r="AC89" s="192">
        <v>45928</v>
      </c>
      <c r="AD89" s="192"/>
      <c r="AE89" s="193">
        <f ca="1">DATEDIF(AC89,'Master List'!$BF$2,"y")</f>
        <v>0</v>
      </c>
      <c r="AF89" s="193"/>
      <c r="AG89" s="193"/>
      <c r="AH89" s="193" t="s">
        <v>1663</v>
      </c>
      <c r="AI89" s="193"/>
      <c r="AJ89" s="193"/>
      <c r="AK89" s="193"/>
      <c r="AL89" s="193"/>
      <c r="AM89" s="193"/>
      <c r="AN89" s="193"/>
      <c r="AO89" s="193"/>
      <c r="AP89" s="257">
        <v>4217600862</v>
      </c>
      <c r="AQ89" s="208"/>
      <c r="AR89" s="208"/>
      <c r="AS89" s="256" t="s">
        <v>1636</v>
      </c>
      <c r="AT89" s="209"/>
      <c r="AU89" s="209"/>
      <c r="AV89" s="209"/>
      <c r="AW89" s="209"/>
      <c r="AX89" s="209"/>
      <c r="AY89" s="209"/>
      <c r="AZ89" s="209"/>
      <c r="BA89" s="209"/>
      <c r="BB89" s="209"/>
      <c r="BC89" s="209"/>
      <c r="BD89" s="209"/>
      <c r="BE89" s="209"/>
      <c r="BF89" s="192">
        <v>45931</v>
      </c>
      <c r="BG89" s="306" t="s">
        <v>1787</v>
      </c>
    </row>
    <row r="90" spans="1:59" s="73" customFormat="1" ht="20.100000000000001" hidden="1" customHeight="1" x14ac:dyDescent="0.25">
      <c r="A90" s="193">
        <f>SUBTOTAL(3,$C$5:C90)</f>
        <v>9</v>
      </c>
      <c r="B90" s="198" t="s">
        <v>1744</v>
      </c>
      <c r="C90" s="242" t="s">
        <v>1496</v>
      </c>
      <c r="D90" s="242" t="s">
        <v>34</v>
      </c>
      <c r="E90" s="192">
        <v>35864</v>
      </c>
      <c r="F90" s="184">
        <f>MONTH(E90)</f>
        <v>3</v>
      </c>
      <c r="G90" s="257" t="s">
        <v>1512</v>
      </c>
      <c r="H90" s="191">
        <v>44881</v>
      </c>
      <c r="I90" s="203" t="s">
        <v>37</v>
      </c>
      <c r="J90" s="256" t="s">
        <v>1587</v>
      </c>
      <c r="K90" s="256" t="s">
        <v>1515</v>
      </c>
      <c r="L90" s="209"/>
      <c r="M90" s="209"/>
      <c r="N90" s="209"/>
      <c r="O90" s="253" t="s">
        <v>1526</v>
      </c>
      <c r="P90" s="253"/>
      <c r="Q90" s="209" t="s">
        <v>1527</v>
      </c>
      <c r="R90" s="209" t="s">
        <v>1391</v>
      </c>
      <c r="S90" s="257" t="s">
        <v>1528</v>
      </c>
      <c r="T90" s="209" t="s">
        <v>253</v>
      </c>
      <c r="U90" s="209" t="s">
        <v>1497</v>
      </c>
      <c r="V90" s="226" t="s">
        <v>1152</v>
      </c>
      <c r="W90" s="253" t="s">
        <v>179</v>
      </c>
      <c r="X90" s="209" t="s">
        <v>625</v>
      </c>
      <c r="Y90" s="260" t="s">
        <v>255</v>
      </c>
      <c r="Z90" s="260" t="s">
        <v>1550</v>
      </c>
      <c r="AA90" s="261" t="s">
        <v>1560</v>
      </c>
      <c r="AB90" s="239">
        <v>45768</v>
      </c>
      <c r="AC90" s="192">
        <v>45829</v>
      </c>
      <c r="AD90" s="192">
        <v>45829</v>
      </c>
      <c r="AE90" s="193">
        <f ca="1">DATEDIF(AC90,'Master List'!$BF$2,"y")</f>
        <v>1</v>
      </c>
      <c r="AF90" s="193" t="s">
        <v>1588</v>
      </c>
      <c r="AG90" s="193"/>
      <c r="AH90" s="193" t="s">
        <v>1662</v>
      </c>
      <c r="AI90" s="193"/>
      <c r="AJ90" s="193"/>
      <c r="AK90" s="193"/>
      <c r="AL90" s="193"/>
      <c r="AM90" s="193"/>
      <c r="AN90" s="193"/>
      <c r="AO90" s="193"/>
      <c r="AP90" s="257" t="s">
        <v>1541</v>
      </c>
      <c r="AQ90" s="208">
        <v>5308000</v>
      </c>
      <c r="AR90" s="208"/>
      <c r="AS90" s="256" t="s">
        <v>1561</v>
      </c>
      <c r="AT90" s="209"/>
      <c r="AU90" s="209"/>
      <c r="AV90" s="209"/>
      <c r="AW90" s="209"/>
      <c r="AX90" s="209"/>
      <c r="AY90" s="209"/>
      <c r="AZ90" s="209"/>
      <c r="BA90" s="209"/>
      <c r="BB90" s="209"/>
      <c r="BC90" s="209"/>
      <c r="BD90" s="209"/>
      <c r="BE90" s="209"/>
      <c r="BF90" s="257" t="s">
        <v>1788</v>
      </c>
      <c r="BG90" s="306" t="s">
        <v>1789</v>
      </c>
    </row>
    <row r="91" spans="1:59" s="73" customFormat="1" ht="18.600000000000001" customHeight="1" x14ac:dyDescent="0.25">
      <c r="A91" s="193">
        <f>SUBTOTAL(3,$C$5:C91)</f>
        <v>10</v>
      </c>
      <c r="B91" s="198" t="s">
        <v>1753</v>
      </c>
      <c r="C91" s="242" t="s">
        <v>1589</v>
      </c>
      <c r="D91" s="242" t="s">
        <v>34</v>
      </c>
      <c r="E91" s="192">
        <v>28732</v>
      </c>
      <c r="F91" s="184">
        <f t="shared" ref="F91:F98" si="1">MONTH(E91)</f>
        <v>8</v>
      </c>
      <c r="G91" s="257" t="s">
        <v>1626</v>
      </c>
      <c r="H91" s="191">
        <v>45138</v>
      </c>
      <c r="I91" s="203" t="s">
        <v>37</v>
      </c>
      <c r="J91" s="256" t="s">
        <v>1620</v>
      </c>
      <c r="K91" s="256" t="s">
        <v>1620</v>
      </c>
      <c r="L91" s="209"/>
      <c r="M91" s="209"/>
      <c r="N91" s="209"/>
      <c r="O91" s="253" t="s">
        <v>1622</v>
      </c>
      <c r="P91" s="253"/>
      <c r="Q91" s="209" t="s">
        <v>1621</v>
      </c>
      <c r="R91" s="209" t="s">
        <v>71</v>
      </c>
      <c r="S91" s="257" t="s">
        <v>1623</v>
      </c>
      <c r="T91" s="209"/>
      <c r="U91" s="209" t="s">
        <v>395</v>
      </c>
      <c r="V91" s="199" t="s">
        <v>1679</v>
      </c>
      <c r="W91" s="253" t="s">
        <v>179</v>
      </c>
      <c r="X91" s="209"/>
      <c r="Y91" s="260" t="s">
        <v>255</v>
      </c>
      <c r="Z91" s="260" t="s">
        <v>1633</v>
      </c>
      <c r="AA91" s="261" t="s">
        <v>1624</v>
      </c>
      <c r="AB91" s="239">
        <v>45848</v>
      </c>
      <c r="AC91" s="192">
        <v>45910</v>
      </c>
      <c r="AD91" s="192">
        <v>45910</v>
      </c>
      <c r="AE91" s="193" t="e">
        <f t="shared" ref="AE91:AE95" si="2">DATEDIF(AC91,$BF$2,"y")</f>
        <v>#NUM!</v>
      </c>
      <c r="AF91" s="220" t="s">
        <v>1647</v>
      </c>
      <c r="AG91" s="193"/>
      <c r="AH91" s="193" t="s">
        <v>1663</v>
      </c>
      <c r="AI91" s="193"/>
      <c r="AJ91" s="193"/>
      <c r="AK91" s="193"/>
      <c r="AL91" s="193"/>
      <c r="AM91" s="193"/>
      <c r="AN91" s="193"/>
      <c r="AO91" s="193"/>
      <c r="AP91" s="257">
        <v>7916456360</v>
      </c>
      <c r="AQ91" s="208"/>
      <c r="AR91" s="208"/>
      <c r="AS91" s="256" t="s">
        <v>1625</v>
      </c>
      <c r="AT91" s="209"/>
      <c r="AU91" s="209"/>
      <c r="AV91" s="209"/>
      <c r="AW91" s="209"/>
      <c r="AX91" s="209"/>
      <c r="AY91" s="209"/>
      <c r="AZ91" s="209"/>
      <c r="BA91" s="209"/>
      <c r="BB91" s="209"/>
      <c r="BC91" s="209"/>
      <c r="BD91" s="209"/>
      <c r="BE91" s="209"/>
      <c r="BF91" s="192">
        <v>45971</v>
      </c>
      <c r="BG91" s="306" t="s">
        <v>1789</v>
      </c>
    </row>
    <row r="92" spans="1:59" s="73" customFormat="1" ht="18.600000000000001" customHeight="1" x14ac:dyDescent="0.25">
      <c r="A92" s="181">
        <f>SUBTOTAL(3,$C$3:C92)</f>
        <v>12</v>
      </c>
      <c r="B92" s="198" t="s">
        <v>1707</v>
      </c>
      <c r="C92" s="242" t="s">
        <v>1506</v>
      </c>
      <c r="D92" s="242" t="s">
        <v>34</v>
      </c>
      <c r="E92" s="237">
        <v>34290</v>
      </c>
      <c r="F92" s="184">
        <f t="shared" si="1"/>
        <v>11</v>
      </c>
      <c r="G92" s="257" t="s">
        <v>1513</v>
      </c>
      <c r="H92" s="191">
        <v>44311</v>
      </c>
      <c r="I92" s="203" t="s">
        <v>37</v>
      </c>
      <c r="J92" s="256" t="s">
        <v>1507</v>
      </c>
      <c r="K92" s="256" t="s">
        <v>1507</v>
      </c>
      <c r="L92" s="196"/>
      <c r="M92" s="196"/>
      <c r="N92" s="209"/>
      <c r="O92" s="253" t="s">
        <v>1532</v>
      </c>
      <c r="P92" s="253"/>
      <c r="Q92" s="209" t="s">
        <v>1533</v>
      </c>
      <c r="R92" s="209" t="s">
        <v>71</v>
      </c>
      <c r="S92" s="257" t="s">
        <v>1534</v>
      </c>
      <c r="T92" s="209"/>
      <c r="U92" s="209" t="s">
        <v>878</v>
      </c>
      <c r="V92" s="226" t="s">
        <v>1152</v>
      </c>
      <c r="W92" s="253" t="s">
        <v>89</v>
      </c>
      <c r="X92" s="199" t="s">
        <v>1645</v>
      </c>
      <c r="Y92" s="260" t="s">
        <v>140</v>
      </c>
      <c r="Z92" s="260" t="s">
        <v>1552</v>
      </c>
      <c r="AA92" s="261" t="s">
        <v>1563</v>
      </c>
      <c r="AB92" s="239">
        <v>45785</v>
      </c>
      <c r="AC92" s="192">
        <v>45846</v>
      </c>
      <c r="AD92" s="192"/>
      <c r="AE92" s="193" t="e">
        <f t="shared" si="2"/>
        <v>#NUM!</v>
      </c>
      <c r="AF92" s="193"/>
      <c r="AG92" s="193"/>
      <c r="AH92" s="193" t="s">
        <v>1662</v>
      </c>
      <c r="AI92" s="193"/>
      <c r="AJ92" s="193"/>
      <c r="AK92" s="193"/>
      <c r="AL92" s="193"/>
      <c r="AM92" s="193"/>
      <c r="AN92" s="193"/>
      <c r="AO92" s="193"/>
      <c r="AP92" s="257" t="s">
        <v>1544</v>
      </c>
      <c r="AQ92" s="208"/>
      <c r="AR92" s="208"/>
      <c r="AS92" s="256" t="s">
        <v>1564</v>
      </c>
      <c r="AT92" s="209"/>
      <c r="AU92" s="209"/>
      <c r="AV92" s="209"/>
      <c r="AW92" s="209"/>
      <c r="AX92" s="209"/>
      <c r="AY92" s="209"/>
      <c r="AZ92" s="209"/>
      <c r="BA92" s="209"/>
      <c r="BB92" s="209"/>
      <c r="BC92" s="209"/>
      <c r="BD92" s="209"/>
      <c r="BE92" s="209"/>
      <c r="BF92" s="193"/>
      <c r="BG92" s="181"/>
    </row>
    <row r="93" spans="1:59" s="73" customFormat="1" ht="18.600000000000001" customHeight="1" x14ac:dyDescent="0.25">
      <c r="A93" s="181">
        <f>SUBTOTAL(3,$C$3:C93)</f>
        <v>13</v>
      </c>
      <c r="B93" s="198" t="s">
        <v>1735</v>
      </c>
      <c r="C93" s="209" t="s">
        <v>540</v>
      </c>
      <c r="D93" s="209" t="s">
        <v>34</v>
      </c>
      <c r="E93" s="237">
        <v>34490</v>
      </c>
      <c r="F93" s="184">
        <f t="shared" si="1"/>
        <v>6</v>
      </c>
      <c r="G93" s="194" t="s">
        <v>541</v>
      </c>
      <c r="H93" s="185">
        <v>44833</v>
      </c>
      <c r="I93" s="305" t="s">
        <v>37</v>
      </c>
      <c r="J93" s="209" t="s">
        <v>542</v>
      </c>
      <c r="K93" s="209"/>
      <c r="L93" s="196"/>
      <c r="M93" s="196"/>
      <c r="N93" s="209"/>
      <c r="O93" s="240" t="s">
        <v>543</v>
      </c>
      <c r="P93" s="240"/>
      <c r="Q93" s="209"/>
      <c r="R93" s="209"/>
      <c r="S93" s="203"/>
      <c r="T93" s="236" t="s">
        <v>103</v>
      </c>
      <c r="U93" s="222" t="s">
        <v>103</v>
      </c>
      <c r="V93" s="226" t="s">
        <v>1152</v>
      </c>
      <c r="W93" s="196" t="s">
        <v>310</v>
      </c>
      <c r="X93" s="209" t="s">
        <v>311</v>
      </c>
      <c r="Y93" s="196" t="s">
        <v>128</v>
      </c>
      <c r="Z93" s="196"/>
      <c r="AA93" s="209"/>
      <c r="AB93" s="192">
        <v>44729</v>
      </c>
      <c r="AC93" s="192">
        <v>44790</v>
      </c>
      <c r="AD93" s="192">
        <v>44805</v>
      </c>
      <c r="AE93" s="193" t="e">
        <f t="shared" si="2"/>
        <v>#NUM!</v>
      </c>
      <c r="AF93" s="193" t="str">
        <f>VLOOKUP(C93,'[1]T03.2024'!$B$8:$O$58,14,0)</f>
        <v>T09/2022</v>
      </c>
      <c r="AG93" s="193" t="s">
        <v>544</v>
      </c>
      <c r="AH93" s="193" t="s">
        <v>1662</v>
      </c>
      <c r="AI93" s="193"/>
      <c r="AJ93" s="193"/>
      <c r="AK93" s="193"/>
      <c r="AL93" s="193"/>
      <c r="AM93" s="193"/>
      <c r="AN93" s="193"/>
      <c r="AO93" s="193"/>
      <c r="AP93" s="203">
        <v>8223397024</v>
      </c>
      <c r="AQ93" s="208">
        <v>5682000</v>
      </c>
      <c r="AR93" s="208"/>
      <c r="AS93" s="208"/>
      <c r="AT93" s="209"/>
      <c r="AU93" s="209"/>
      <c r="AV93" s="209"/>
      <c r="AW93" s="209"/>
      <c r="AX93" s="209"/>
      <c r="AY93" s="209"/>
      <c r="AZ93" s="209"/>
      <c r="BA93" s="209"/>
      <c r="BB93" s="209"/>
      <c r="BC93" s="209"/>
      <c r="BD93" s="209"/>
      <c r="BE93" s="209"/>
      <c r="BF93" s="345"/>
      <c r="BG93" s="306" t="s">
        <v>1816</v>
      </c>
    </row>
    <row r="94" spans="1:59" s="73" customFormat="1" ht="18.600000000000001" customHeight="1" x14ac:dyDescent="0.25">
      <c r="A94" s="181">
        <f>SUBTOTAL(3,$C$3:C94)</f>
        <v>14</v>
      </c>
      <c r="B94" s="198" t="s">
        <v>1762</v>
      </c>
      <c r="C94" s="242" t="s">
        <v>498</v>
      </c>
      <c r="D94" s="242" t="s">
        <v>34</v>
      </c>
      <c r="E94" s="243">
        <v>35116</v>
      </c>
      <c r="F94" s="184">
        <f t="shared" si="1"/>
        <v>2</v>
      </c>
      <c r="G94" s="279" t="s">
        <v>499</v>
      </c>
      <c r="H94" s="185" t="s">
        <v>500</v>
      </c>
      <c r="I94" s="305" t="s">
        <v>37</v>
      </c>
      <c r="J94" s="242" t="s">
        <v>501</v>
      </c>
      <c r="K94" s="242" t="s">
        <v>502</v>
      </c>
      <c r="L94" s="246" t="s">
        <v>503</v>
      </c>
      <c r="M94" s="246" t="s">
        <v>68</v>
      </c>
      <c r="N94" s="242" t="s">
        <v>41</v>
      </c>
      <c r="O94" s="244" t="s">
        <v>504</v>
      </c>
      <c r="P94" s="244"/>
      <c r="Q94" s="242" t="s">
        <v>505</v>
      </c>
      <c r="R94" s="242" t="s">
        <v>506</v>
      </c>
      <c r="S94" s="245" t="s">
        <v>507</v>
      </c>
      <c r="T94" s="246" t="s">
        <v>508</v>
      </c>
      <c r="U94" s="242" t="s">
        <v>224</v>
      </c>
      <c r="V94" s="226" t="s">
        <v>1152</v>
      </c>
      <c r="W94" s="205" t="s">
        <v>179</v>
      </c>
      <c r="X94" s="242" t="s">
        <v>168</v>
      </c>
      <c r="Y94" s="196" t="s">
        <v>255</v>
      </c>
      <c r="Z94" s="246"/>
      <c r="AA94" s="242" t="s">
        <v>509</v>
      </c>
      <c r="AB94" s="192">
        <v>44684</v>
      </c>
      <c r="AC94" s="192">
        <v>44745</v>
      </c>
      <c r="AD94" s="192">
        <v>44745</v>
      </c>
      <c r="AE94" s="193" t="e">
        <f t="shared" si="2"/>
        <v>#NUM!</v>
      </c>
      <c r="AF94" s="193" t="str">
        <f>VLOOKUP(C94,'[1]T03.2024'!$B$8:$O$58,14,0)</f>
        <v>T07/2022</v>
      </c>
      <c r="AG94" s="193" t="s">
        <v>510</v>
      </c>
      <c r="AH94" s="193" t="s">
        <v>1662</v>
      </c>
      <c r="AI94" s="193"/>
      <c r="AJ94" s="193"/>
      <c r="AK94" s="193"/>
      <c r="AL94" s="193"/>
      <c r="AM94" s="193"/>
      <c r="AN94" s="193"/>
      <c r="AO94" s="193"/>
      <c r="AP94" s="247">
        <v>8223939415</v>
      </c>
      <c r="AQ94" s="208">
        <v>5682000</v>
      </c>
      <c r="AR94" s="208"/>
      <c r="AS94" s="208"/>
      <c r="AT94" s="209"/>
      <c r="AU94" s="209"/>
      <c r="AV94" s="209"/>
      <c r="AW94" s="209"/>
      <c r="AX94" s="209"/>
      <c r="AY94" s="209"/>
      <c r="AZ94" s="209"/>
      <c r="BA94" s="209"/>
      <c r="BB94" s="209"/>
      <c r="BC94" s="209"/>
      <c r="BD94" s="209"/>
      <c r="BE94" s="209"/>
      <c r="BF94" s="192">
        <v>46113</v>
      </c>
      <c r="BG94" s="306" t="s">
        <v>1254</v>
      </c>
    </row>
    <row r="95" spans="1:59" ht="18.600000000000001" customHeight="1" x14ac:dyDescent="0.25">
      <c r="A95" s="181">
        <f>SUBTOTAL(3,$C$3:C95)</f>
        <v>15</v>
      </c>
      <c r="B95" s="198" t="s">
        <v>1745</v>
      </c>
      <c r="C95" s="242" t="s">
        <v>722</v>
      </c>
      <c r="D95" s="242" t="s">
        <v>34</v>
      </c>
      <c r="E95" s="237">
        <v>32822</v>
      </c>
      <c r="F95" s="184">
        <f t="shared" si="1"/>
        <v>11</v>
      </c>
      <c r="G95" s="257" t="s">
        <v>723</v>
      </c>
      <c r="H95" s="191">
        <v>44219</v>
      </c>
      <c r="I95" s="203" t="s">
        <v>37</v>
      </c>
      <c r="J95" s="256" t="s">
        <v>724</v>
      </c>
      <c r="K95" s="256" t="s">
        <v>725</v>
      </c>
      <c r="L95" s="196"/>
      <c r="M95" s="196"/>
      <c r="N95" s="209"/>
      <c r="O95" s="253" t="s">
        <v>726</v>
      </c>
      <c r="P95" s="253"/>
      <c r="Q95" s="209" t="s">
        <v>727</v>
      </c>
      <c r="R95" s="209" t="s">
        <v>71</v>
      </c>
      <c r="S95" s="257" t="s">
        <v>728</v>
      </c>
      <c r="T95" s="260" t="s">
        <v>1488</v>
      </c>
      <c r="U95" s="209" t="s">
        <v>238</v>
      </c>
      <c r="V95" s="226" t="s">
        <v>1152</v>
      </c>
      <c r="W95" s="205" t="s">
        <v>179</v>
      </c>
      <c r="X95" s="209" t="s">
        <v>239</v>
      </c>
      <c r="Y95" s="260" t="s">
        <v>255</v>
      </c>
      <c r="Z95" s="260" t="s">
        <v>1488</v>
      </c>
      <c r="AA95" s="261" t="s">
        <v>729</v>
      </c>
      <c r="AB95" s="192">
        <v>45561</v>
      </c>
      <c r="AC95" s="192">
        <v>45627</v>
      </c>
      <c r="AD95" s="192">
        <v>45717</v>
      </c>
      <c r="AE95" s="193" t="e">
        <f t="shared" si="2"/>
        <v>#NUM!</v>
      </c>
      <c r="AF95" s="193" t="s">
        <v>1489</v>
      </c>
      <c r="AG95" s="193" t="s">
        <v>1808</v>
      </c>
      <c r="AH95" s="193" t="s">
        <v>1662</v>
      </c>
      <c r="AI95" s="193"/>
      <c r="AJ95" s="193"/>
      <c r="AK95" s="193"/>
      <c r="AL95" s="193"/>
      <c r="AM95" s="193"/>
      <c r="AN95" s="193"/>
      <c r="AO95" s="193"/>
      <c r="AP95" s="257">
        <v>7415034655</v>
      </c>
      <c r="AQ95" s="208">
        <v>5682000</v>
      </c>
      <c r="AR95" s="208"/>
      <c r="AS95" s="260" t="s">
        <v>730</v>
      </c>
      <c r="AT95" s="209"/>
      <c r="AU95" s="209"/>
      <c r="AV95" s="209"/>
      <c r="AW95" s="209"/>
      <c r="AX95" s="209"/>
      <c r="AY95" s="209"/>
      <c r="AZ95" s="209"/>
      <c r="BA95" s="209"/>
      <c r="BB95" s="209"/>
      <c r="BC95" s="209"/>
      <c r="BD95" s="209"/>
      <c r="BE95" s="209"/>
      <c r="BF95" s="192">
        <v>46123</v>
      </c>
      <c r="BG95" s="306" t="s">
        <v>1254</v>
      </c>
    </row>
    <row r="96" spans="1:59" ht="18.600000000000001" customHeight="1" x14ac:dyDescent="0.25">
      <c r="A96" s="181">
        <f>SUBTOTAL(3,$C$3:C96)</f>
        <v>16</v>
      </c>
      <c r="B96" s="193" t="s">
        <v>1825</v>
      </c>
      <c r="C96" s="209" t="s">
        <v>1826</v>
      </c>
      <c r="D96" s="209" t="s">
        <v>34</v>
      </c>
      <c r="E96" s="237">
        <v>28234</v>
      </c>
      <c r="F96" s="184">
        <f t="shared" si="1"/>
        <v>4</v>
      </c>
      <c r="G96" s="257" t="s">
        <v>1827</v>
      </c>
      <c r="H96" s="191">
        <v>45342</v>
      </c>
      <c r="I96" s="203" t="s">
        <v>37</v>
      </c>
      <c r="J96" s="209" t="s">
        <v>1828</v>
      </c>
      <c r="K96" s="209" t="s">
        <v>1829</v>
      </c>
      <c r="L96" s="196"/>
      <c r="M96" s="196"/>
      <c r="N96" s="209"/>
      <c r="O96" s="344" t="s">
        <v>1832</v>
      </c>
      <c r="P96" s="323"/>
      <c r="Q96" s="209"/>
      <c r="R96" s="209"/>
      <c r="S96" s="203"/>
      <c r="T96" s="236"/>
      <c r="U96" s="209" t="s">
        <v>1830</v>
      </c>
      <c r="V96" s="209"/>
      <c r="W96" s="209" t="s">
        <v>179</v>
      </c>
      <c r="X96" s="209" t="s">
        <v>286</v>
      </c>
      <c r="Y96" s="196"/>
      <c r="Z96" s="196"/>
      <c r="AA96" s="209"/>
      <c r="AB96" s="193"/>
      <c r="AC96" s="193"/>
      <c r="AD96" s="192"/>
      <c r="AE96" s="193"/>
      <c r="AF96" s="193"/>
      <c r="AG96" s="193"/>
      <c r="AH96" s="193"/>
      <c r="AI96" s="193"/>
      <c r="AJ96" s="193"/>
      <c r="AK96" s="193"/>
      <c r="AL96" s="193"/>
      <c r="AM96" s="193"/>
      <c r="AN96" s="193"/>
      <c r="AO96" s="193"/>
      <c r="AP96" s="203"/>
      <c r="AQ96" s="208"/>
      <c r="AR96" s="208"/>
      <c r="AS96" s="208"/>
      <c r="AT96" s="209"/>
      <c r="AU96" s="209"/>
      <c r="AV96" s="209"/>
      <c r="AW96" s="209"/>
      <c r="AX96" s="209"/>
      <c r="AY96" s="209"/>
      <c r="AZ96" s="209"/>
      <c r="BA96" s="209"/>
      <c r="BB96" s="209"/>
      <c r="BC96" s="209"/>
      <c r="BD96" s="209"/>
      <c r="BE96" s="209"/>
      <c r="BF96" s="192">
        <v>46135</v>
      </c>
      <c r="BG96" s="306" t="s">
        <v>1254</v>
      </c>
    </row>
    <row r="97" spans="1:59" ht="18.600000000000001" customHeight="1" x14ac:dyDescent="0.25">
      <c r="A97" s="181">
        <f>SUBTOTAL(3,$C$3:C97)</f>
        <v>17</v>
      </c>
      <c r="B97" s="198" t="s">
        <v>1734</v>
      </c>
      <c r="C97" s="199" t="s">
        <v>290</v>
      </c>
      <c r="D97" s="199" t="s">
        <v>34</v>
      </c>
      <c r="E97" s="200">
        <v>32212</v>
      </c>
      <c r="F97" s="184">
        <f t="shared" si="1"/>
        <v>3</v>
      </c>
      <c r="G97" s="279" t="s">
        <v>291</v>
      </c>
      <c r="H97" s="185" t="s">
        <v>292</v>
      </c>
      <c r="I97" s="305" t="s">
        <v>37</v>
      </c>
      <c r="J97" s="199" t="s">
        <v>1814</v>
      </c>
      <c r="K97" s="199" t="s">
        <v>293</v>
      </c>
      <c r="L97" s="205" t="s">
        <v>216</v>
      </c>
      <c r="M97" s="205" t="s">
        <v>217</v>
      </c>
      <c r="N97" s="199" t="s">
        <v>41</v>
      </c>
      <c r="O97" s="201" t="s">
        <v>294</v>
      </c>
      <c r="P97" s="201"/>
      <c r="Q97" s="202" t="s">
        <v>295</v>
      </c>
      <c r="R97" s="202" t="s">
        <v>71</v>
      </c>
      <c r="S97" s="211" t="s">
        <v>296</v>
      </c>
      <c r="T97" s="222" t="s">
        <v>74</v>
      </c>
      <c r="U97" s="199" t="s">
        <v>1804</v>
      </c>
      <c r="V97" s="226" t="s">
        <v>1152</v>
      </c>
      <c r="W97" s="199" t="s">
        <v>179</v>
      </c>
      <c r="X97" s="199" t="s">
        <v>168</v>
      </c>
      <c r="Y97" s="205" t="s">
        <v>298</v>
      </c>
      <c r="Z97" s="205"/>
      <c r="AA97" s="199" t="s">
        <v>299</v>
      </c>
      <c r="AB97" s="191">
        <v>44112</v>
      </c>
      <c r="AC97" s="206">
        <v>44113</v>
      </c>
      <c r="AD97" s="192">
        <v>44166</v>
      </c>
      <c r="AE97" s="193" t="e">
        <f t="shared" ref="AE97:AE98" si="3">DATEDIF(AC97,$BF$2,"y")</f>
        <v>#NUM!</v>
      </c>
      <c r="AF97" s="193" t="str">
        <f>VLOOKUP(C97,'[1]T03.2024'!$B$8:$O$58,14,0)</f>
        <v>T12/2020</v>
      </c>
      <c r="AG97" s="193" t="s">
        <v>300</v>
      </c>
      <c r="AH97" s="193" t="s">
        <v>1662</v>
      </c>
      <c r="AI97" s="193"/>
      <c r="AJ97" s="193"/>
      <c r="AK97" s="193"/>
      <c r="AL97" s="193"/>
      <c r="AM97" s="193"/>
      <c r="AN97" s="193"/>
      <c r="AO97" s="193"/>
      <c r="AP97" s="211" t="s">
        <v>297</v>
      </c>
      <c r="AQ97" s="208">
        <v>5682000</v>
      </c>
      <c r="AR97" s="208"/>
      <c r="AS97" s="208"/>
      <c r="AT97" s="209"/>
      <c r="AU97" s="209"/>
      <c r="AV97" s="209"/>
      <c r="AW97" s="209"/>
      <c r="AX97" s="209"/>
      <c r="AY97" s="209"/>
      <c r="AZ97" s="209"/>
      <c r="BA97" s="209"/>
      <c r="BB97" s="209"/>
      <c r="BC97" s="209"/>
      <c r="BD97" s="209"/>
      <c r="BE97" s="209"/>
      <c r="BF97" s="192">
        <v>46143</v>
      </c>
      <c r="BG97" s="306" t="s">
        <v>1833</v>
      </c>
    </row>
    <row r="98" spans="1:59" ht="15.75" customHeight="1" x14ac:dyDescent="0.25">
      <c r="A98" s="181">
        <f>SUBTOTAL(3,$C$3:C98)</f>
        <v>18</v>
      </c>
      <c r="B98" s="198" t="s">
        <v>1740</v>
      </c>
      <c r="C98" s="242" t="s">
        <v>1493</v>
      </c>
      <c r="D98" s="242" t="s">
        <v>34</v>
      </c>
      <c r="E98" s="237">
        <v>33008</v>
      </c>
      <c r="F98" s="184">
        <f t="shared" si="1"/>
        <v>5</v>
      </c>
      <c r="G98" s="255" t="s">
        <v>1510</v>
      </c>
      <c r="H98" s="191">
        <v>44670</v>
      </c>
      <c r="I98" s="226" t="s">
        <v>37</v>
      </c>
      <c r="J98" s="256" t="s">
        <v>1502</v>
      </c>
      <c r="K98" s="256" t="s">
        <v>1792</v>
      </c>
      <c r="L98" s="196"/>
      <c r="M98" s="196"/>
      <c r="N98" s="209"/>
      <c r="O98" s="253" t="s">
        <v>1520</v>
      </c>
      <c r="P98" s="253"/>
      <c r="Q98" s="209" t="s">
        <v>1521</v>
      </c>
      <c r="R98" s="209" t="s">
        <v>71</v>
      </c>
      <c r="S98" s="257" t="s">
        <v>1522</v>
      </c>
      <c r="T98" s="209"/>
      <c r="U98" s="209" t="s">
        <v>395</v>
      </c>
      <c r="V98" s="199" t="s">
        <v>1679</v>
      </c>
      <c r="W98" s="253" t="s">
        <v>179</v>
      </c>
      <c r="X98" s="209" t="s">
        <v>625</v>
      </c>
      <c r="Y98" s="260" t="s">
        <v>255</v>
      </c>
      <c r="Z98" s="260" t="s">
        <v>1548</v>
      </c>
      <c r="AA98" s="261" t="s">
        <v>1556</v>
      </c>
      <c r="AB98" s="239">
        <v>45755</v>
      </c>
      <c r="AC98" s="192">
        <v>45816</v>
      </c>
      <c r="AD98" s="192">
        <v>45816</v>
      </c>
      <c r="AE98" s="193" t="e">
        <f t="shared" si="3"/>
        <v>#NUM!</v>
      </c>
      <c r="AF98" s="193" t="s">
        <v>1572</v>
      </c>
      <c r="AG98" s="193"/>
      <c r="AH98" s="193" t="s">
        <v>1662</v>
      </c>
      <c r="AI98" s="193"/>
      <c r="AJ98" s="193"/>
      <c r="AK98" s="193"/>
      <c r="AL98" s="193"/>
      <c r="AM98" s="193"/>
      <c r="AN98" s="193"/>
      <c r="AO98" s="193"/>
      <c r="AP98" s="257" t="s">
        <v>1538</v>
      </c>
      <c r="AQ98" s="208">
        <v>5682000</v>
      </c>
      <c r="AR98" s="208"/>
      <c r="AS98" s="256" t="s">
        <v>1557</v>
      </c>
      <c r="AT98" s="209"/>
      <c r="AU98" s="209"/>
      <c r="AV98" s="209"/>
      <c r="AW98" s="209"/>
      <c r="AX98" s="209"/>
      <c r="AY98" s="209"/>
      <c r="AZ98" s="209"/>
      <c r="BA98" s="209"/>
      <c r="BB98" s="209"/>
      <c r="BC98" s="209"/>
      <c r="BD98" s="209"/>
      <c r="BE98" s="209"/>
      <c r="BF98" s="209"/>
      <c r="BG98" s="181">
        <v>8</v>
      </c>
    </row>
    <row r="99" spans="1:59" ht="15.75" customHeight="1" x14ac:dyDescent="0.25">
      <c r="A99" s="212"/>
      <c r="B99" s="193" t="s">
        <v>1848</v>
      </c>
      <c r="C99" s="209" t="s">
        <v>1847</v>
      </c>
      <c r="D99" s="212"/>
      <c r="E99" s="216"/>
      <c r="F99" s="216"/>
      <c r="G99" s="269"/>
      <c r="H99" s="216"/>
      <c r="I99" s="218"/>
      <c r="J99" s="212"/>
      <c r="K99" s="212"/>
      <c r="L99" s="212"/>
      <c r="M99" s="212"/>
      <c r="N99" s="212"/>
      <c r="O99" s="217"/>
      <c r="P99" s="217"/>
      <c r="Q99" s="212"/>
      <c r="R99" s="212"/>
      <c r="S99" s="217"/>
      <c r="T99" s="217"/>
      <c r="U99" s="212"/>
      <c r="V99" s="212"/>
      <c r="W99" s="212"/>
      <c r="X99" s="212"/>
      <c r="Y99" s="212"/>
      <c r="Z99" s="212"/>
      <c r="AA99" s="219"/>
      <c r="AB99" s="216"/>
      <c r="AC99" s="216"/>
      <c r="AD99" s="216"/>
      <c r="AE99" s="216"/>
      <c r="AF99" s="212"/>
      <c r="AG99" s="212"/>
      <c r="AH99" s="212"/>
      <c r="AI99" s="216"/>
      <c r="AJ99" s="216"/>
      <c r="AK99" s="216"/>
      <c r="AL99" s="216"/>
      <c r="AM99" s="216"/>
      <c r="AN99" s="216"/>
      <c r="AO99" s="216"/>
      <c r="AP99" s="217"/>
      <c r="AQ99" s="212"/>
      <c r="AR99" s="212"/>
      <c r="AS99" s="212"/>
      <c r="AT99" s="212"/>
      <c r="AU99" s="212"/>
      <c r="AV99" s="212"/>
      <c r="AW99" s="212"/>
      <c r="AX99" s="212"/>
      <c r="AY99" s="212"/>
      <c r="AZ99" s="212"/>
      <c r="BA99" s="212"/>
      <c r="BB99" s="212"/>
      <c r="BC99" s="212"/>
      <c r="BD99" s="212"/>
      <c r="BE99" s="212"/>
      <c r="BF99" s="216"/>
      <c r="BG99" s="212"/>
    </row>
    <row r="100" spans="1:59" ht="15.75" customHeight="1" x14ac:dyDescent="0.25">
      <c r="A100" s="212"/>
      <c r="B100" s="193" t="s">
        <v>1858</v>
      </c>
      <c r="C100" s="210" t="s">
        <v>1857</v>
      </c>
      <c r="D100" s="212"/>
      <c r="E100" s="216"/>
      <c r="F100" s="216"/>
      <c r="G100" s="269"/>
      <c r="H100" s="216"/>
      <c r="I100" s="218"/>
      <c r="J100" s="212"/>
      <c r="K100" s="212"/>
      <c r="L100" s="212"/>
      <c r="M100" s="212"/>
      <c r="N100" s="212"/>
      <c r="O100" s="217"/>
      <c r="P100" s="217"/>
      <c r="Q100" s="212"/>
      <c r="R100" s="212"/>
      <c r="S100" s="217"/>
      <c r="T100" s="217"/>
      <c r="U100" s="212"/>
      <c r="V100" s="212"/>
      <c r="W100" s="212"/>
      <c r="X100" s="212"/>
      <c r="Y100" s="212"/>
      <c r="Z100" s="212"/>
      <c r="AA100" s="219"/>
      <c r="AB100" s="216"/>
      <c r="AC100" s="216"/>
      <c r="AD100" s="216"/>
      <c r="AE100" s="216"/>
      <c r="AF100" s="212"/>
      <c r="AG100" s="212"/>
      <c r="AH100" s="212"/>
      <c r="AI100" s="216"/>
      <c r="AJ100" s="216"/>
      <c r="AK100" s="216"/>
      <c r="AL100" s="216"/>
      <c r="AM100" s="216"/>
      <c r="AN100" s="216"/>
      <c r="AO100" s="216"/>
      <c r="AP100" s="217"/>
      <c r="AQ100" s="212"/>
      <c r="AR100" s="212"/>
      <c r="AS100" s="212"/>
      <c r="AT100" s="212"/>
      <c r="AU100" s="212"/>
      <c r="AV100" s="212"/>
      <c r="AW100" s="212"/>
      <c r="AX100" s="212"/>
      <c r="AY100" s="212"/>
      <c r="AZ100" s="212"/>
      <c r="BA100" s="212"/>
      <c r="BB100" s="212"/>
      <c r="BC100" s="212"/>
      <c r="BD100" s="212"/>
      <c r="BE100" s="212"/>
      <c r="BF100" s="216"/>
      <c r="BG100" s="212"/>
    </row>
    <row r="101" spans="1:59" ht="15.75" customHeight="1" x14ac:dyDescent="0.25">
      <c r="A101" s="212"/>
      <c r="B101" s="212"/>
      <c r="C101" s="212"/>
      <c r="D101" s="212"/>
      <c r="E101" s="216"/>
      <c r="F101" s="216"/>
      <c r="G101" s="269"/>
      <c r="H101" s="216"/>
      <c r="I101" s="218"/>
      <c r="J101" s="212"/>
      <c r="K101" s="212"/>
      <c r="L101" s="212"/>
      <c r="M101" s="212"/>
      <c r="N101" s="212"/>
      <c r="O101" s="217"/>
      <c r="P101" s="217"/>
      <c r="Q101" s="212"/>
      <c r="R101" s="212"/>
      <c r="S101" s="217"/>
      <c r="T101" s="217"/>
      <c r="U101" s="212"/>
      <c r="V101" s="212"/>
      <c r="W101" s="212"/>
      <c r="X101" s="212"/>
      <c r="Y101" s="212"/>
      <c r="Z101" s="212"/>
      <c r="AA101" s="219"/>
      <c r="AB101" s="216"/>
      <c r="AC101" s="216"/>
      <c r="AD101" s="216"/>
      <c r="AE101" s="216"/>
      <c r="AF101" s="212"/>
      <c r="AG101" s="212"/>
      <c r="AH101" s="212"/>
      <c r="AI101" s="216"/>
      <c r="AJ101" s="216"/>
      <c r="AK101" s="216"/>
      <c r="AL101" s="216"/>
      <c r="AM101" s="216"/>
      <c r="AN101" s="216"/>
      <c r="AO101" s="216"/>
      <c r="AP101" s="217"/>
      <c r="AQ101" s="212"/>
      <c r="AR101" s="212"/>
      <c r="AS101" s="212"/>
      <c r="AT101" s="212"/>
      <c r="AU101" s="212"/>
      <c r="AV101" s="212"/>
      <c r="AW101" s="212"/>
      <c r="AX101" s="212"/>
      <c r="AY101" s="212"/>
      <c r="AZ101" s="212"/>
      <c r="BA101" s="212"/>
      <c r="BB101" s="212"/>
      <c r="BC101" s="212"/>
      <c r="BD101" s="212"/>
      <c r="BE101" s="212"/>
      <c r="BF101" s="216"/>
      <c r="BG101" s="212"/>
    </row>
    <row r="102" spans="1:59" ht="15.75" customHeight="1" x14ac:dyDescent="0.25">
      <c r="A102" s="212"/>
      <c r="B102" s="212"/>
      <c r="C102" s="212"/>
      <c r="D102" s="212"/>
      <c r="E102" s="216"/>
      <c r="F102" s="216"/>
      <c r="G102" s="269"/>
      <c r="H102" s="216"/>
      <c r="I102" s="218"/>
      <c r="J102" s="212"/>
      <c r="K102" s="212"/>
      <c r="L102" s="212"/>
      <c r="M102" s="212"/>
      <c r="N102" s="212"/>
      <c r="O102" s="217"/>
      <c r="P102" s="217"/>
      <c r="Q102" s="212"/>
      <c r="R102" s="212"/>
      <c r="S102" s="217"/>
      <c r="T102" s="217"/>
      <c r="U102" s="212"/>
      <c r="V102" s="212"/>
      <c r="W102" s="212"/>
      <c r="X102" s="212"/>
      <c r="Y102" s="212"/>
      <c r="Z102" s="212"/>
      <c r="AA102" s="219"/>
      <c r="AB102" s="216"/>
      <c r="AC102" s="216"/>
      <c r="AD102" s="216"/>
      <c r="AE102" s="216"/>
      <c r="AF102" s="212"/>
      <c r="AG102" s="212"/>
      <c r="AH102" s="212"/>
      <c r="AI102" s="216"/>
      <c r="AJ102" s="216"/>
      <c r="AK102" s="216"/>
      <c r="AL102" s="216"/>
      <c r="AM102" s="216"/>
      <c r="AN102" s="216"/>
      <c r="AO102" s="216"/>
      <c r="AP102" s="217"/>
      <c r="AQ102" s="212"/>
      <c r="AR102" s="212"/>
      <c r="AS102" s="212"/>
      <c r="AT102" s="212"/>
      <c r="AU102" s="212"/>
      <c r="AV102" s="212"/>
      <c r="AW102" s="212"/>
      <c r="AX102" s="212"/>
      <c r="AY102" s="212"/>
      <c r="AZ102" s="212"/>
      <c r="BA102" s="212"/>
      <c r="BB102" s="212"/>
      <c r="BC102" s="212"/>
      <c r="BD102" s="212"/>
      <c r="BE102" s="212"/>
      <c r="BF102" s="216"/>
      <c r="BG102" s="212"/>
    </row>
    <row r="103" spans="1:59" ht="15.75" customHeight="1" x14ac:dyDescent="0.25">
      <c r="A103" s="212"/>
      <c r="B103" s="212"/>
      <c r="C103" s="212"/>
      <c r="D103" s="212"/>
      <c r="E103" s="216"/>
      <c r="F103" s="216"/>
      <c r="G103" s="269"/>
      <c r="H103" s="216"/>
      <c r="I103" s="218"/>
      <c r="J103" s="212"/>
      <c r="K103" s="212"/>
      <c r="L103" s="212"/>
      <c r="M103" s="212"/>
      <c r="N103" s="212"/>
      <c r="O103" s="217"/>
      <c r="P103" s="217"/>
      <c r="Q103" s="212"/>
      <c r="R103" s="212"/>
      <c r="S103" s="217"/>
      <c r="T103" s="217"/>
      <c r="U103" s="212"/>
      <c r="V103" s="212"/>
      <c r="W103" s="212"/>
      <c r="X103" s="212"/>
      <c r="Y103" s="212"/>
      <c r="Z103" s="212"/>
      <c r="AA103" s="219"/>
      <c r="AB103" s="216"/>
      <c r="AC103" s="216"/>
      <c r="AD103" s="216"/>
      <c r="AE103" s="216"/>
      <c r="AF103" s="212"/>
      <c r="AG103" s="212"/>
      <c r="AH103" s="212"/>
      <c r="AI103" s="216"/>
      <c r="AJ103" s="216"/>
      <c r="AK103" s="216"/>
      <c r="AL103" s="216"/>
      <c r="AM103" s="216"/>
      <c r="AN103" s="216"/>
      <c r="AO103" s="216"/>
      <c r="AP103" s="217"/>
      <c r="AQ103" s="212"/>
      <c r="AR103" s="212"/>
      <c r="AS103" s="212"/>
      <c r="AT103" s="212"/>
      <c r="AU103" s="212"/>
      <c r="AV103" s="212"/>
      <c r="AW103" s="212"/>
      <c r="AX103" s="212"/>
      <c r="AY103" s="212"/>
      <c r="AZ103" s="212"/>
      <c r="BA103" s="212"/>
      <c r="BB103" s="212"/>
      <c r="BC103" s="212"/>
      <c r="BD103" s="212"/>
      <c r="BE103" s="212"/>
      <c r="BF103" s="216"/>
      <c r="BG103" s="212"/>
    </row>
    <row r="104" spans="1:59" ht="15.75" customHeight="1" x14ac:dyDescent="0.25">
      <c r="A104" s="212"/>
      <c r="B104" s="212"/>
      <c r="C104" s="212"/>
      <c r="D104" s="212"/>
      <c r="E104" s="216"/>
      <c r="F104" s="216"/>
      <c r="G104" s="269"/>
      <c r="H104" s="216"/>
      <c r="I104" s="218"/>
      <c r="J104" s="212"/>
      <c r="K104" s="212"/>
      <c r="L104" s="212"/>
      <c r="M104" s="212"/>
      <c r="N104" s="212"/>
      <c r="O104" s="217"/>
      <c r="P104" s="217"/>
      <c r="Q104" s="212"/>
      <c r="R104" s="212"/>
      <c r="S104" s="217"/>
      <c r="T104" s="217"/>
      <c r="U104" s="212"/>
      <c r="V104" s="212"/>
      <c r="W104" s="212"/>
      <c r="X104" s="212"/>
      <c r="Y104" s="212"/>
      <c r="Z104" s="212"/>
      <c r="AA104" s="219"/>
      <c r="AB104" s="216"/>
      <c r="AC104" s="216"/>
      <c r="AD104" s="216"/>
      <c r="AE104" s="216"/>
      <c r="AF104" s="212"/>
      <c r="AG104" s="212"/>
      <c r="AH104" s="212"/>
      <c r="AI104" s="216"/>
      <c r="AJ104" s="216"/>
      <c r="AK104" s="216"/>
      <c r="AL104" s="216"/>
      <c r="AM104" s="216"/>
      <c r="AN104" s="216"/>
      <c r="AO104" s="216"/>
      <c r="AP104" s="217"/>
      <c r="AQ104" s="212"/>
      <c r="AR104" s="212"/>
      <c r="AS104" s="212"/>
      <c r="AT104" s="212"/>
      <c r="AU104" s="212"/>
      <c r="AV104" s="212"/>
      <c r="AW104" s="212"/>
      <c r="AX104" s="212"/>
      <c r="AY104" s="212"/>
      <c r="AZ104" s="212"/>
      <c r="BA104" s="212"/>
      <c r="BB104" s="212"/>
      <c r="BC104" s="212"/>
      <c r="BD104" s="212"/>
      <c r="BE104" s="212"/>
      <c r="BF104" s="216"/>
      <c r="BG104" s="212"/>
    </row>
    <row r="105" spans="1:59" ht="15.75" customHeight="1" x14ac:dyDescent="0.25">
      <c r="A105" s="212"/>
      <c r="B105" s="212"/>
      <c r="C105" s="212"/>
      <c r="D105" s="212"/>
      <c r="E105" s="216"/>
      <c r="F105" s="216"/>
      <c r="G105" s="269"/>
      <c r="H105" s="216"/>
      <c r="I105" s="218"/>
      <c r="J105" s="212"/>
      <c r="K105" s="212"/>
      <c r="L105" s="212"/>
      <c r="M105" s="212"/>
      <c r="N105" s="212"/>
      <c r="O105" s="217"/>
      <c r="P105" s="217"/>
      <c r="Q105" s="212"/>
      <c r="R105" s="212"/>
      <c r="S105" s="217"/>
      <c r="T105" s="217"/>
      <c r="U105" s="212"/>
      <c r="V105" s="212"/>
      <c r="W105" s="212"/>
      <c r="X105" s="212"/>
      <c r="Y105" s="212"/>
      <c r="Z105" s="212"/>
      <c r="AA105" s="219"/>
      <c r="AB105" s="216"/>
      <c r="AC105" s="216"/>
      <c r="AD105" s="216"/>
      <c r="AE105" s="216"/>
      <c r="AF105" s="212"/>
      <c r="AG105" s="212"/>
      <c r="AH105" s="212"/>
      <c r="AI105" s="216"/>
      <c r="AJ105" s="216"/>
      <c r="AK105" s="216"/>
      <c r="AL105" s="216"/>
      <c r="AM105" s="216"/>
      <c r="AN105" s="216"/>
      <c r="AO105" s="216"/>
      <c r="AP105" s="217"/>
      <c r="AQ105" s="212"/>
      <c r="AR105" s="212"/>
      <c r="AS105" s="212"/>
      <c r="AT105" s="212"/>
      <c r="AU105" s="212"/>
      <c r="AV105" s="212"/>
      <c r="AW105" s="212"/>
      <c r="AX105" s="212"/>
      <c r="AY105" s="212"/>
      <c r="AZ105" s="212"/>
      <c r="BA105" s="212"/>
      <c r="BB105" s="212"/>
      <c r="BC105" s="212"/>
      <c r="BD105" s="212"/>
      <c r="BE105" s="212"/>
      <c r="BF105" s="216"/>
      <c r="BG105" s="212"/>
    </row>
    <row r="106" spans="1:59" ht="15.75" customHeight="1" x14ac:dyDescent="0.25">
      <c r="A106" s="212"/>
      <c r="B106" s="212"/>
      <c r="C106" s="212"/>
      <c r="D106" s="212"/>
      <c r="E106" s="216"/>
      <c r="F106" s="216"/>
      <c r="G106" s="269"/>
      <c r="H106" s="216"/>
      <c r="I106" s="218"/>
      <c r="J106" s="212"/>
      <c r="K106" s="212"/>
      <c r="L106" s="212"/>
      <c r="M106" s="212"/>
      <c r="N106" s="212"/>
      <c r="O106" s="217"/>
      <c r="P106" s="217"/>
      <c r="Q106" s="212"/>
      <c r="R106" s="212"/>
      <c r="S106" s="217"/>
      <c r="T106" s="217"/>
      <c r="U106" s="212"/>
      <c r="V106" s="212"/>
      <c r="W106" s="212"/>
      <c r="X106" s="212"/>
      <c r="Y106" s="212"/>
      <c r="Z106" s="212"/>
      <c r="AA106" s="219"/>
      <c r="AB106" s="216"/>
      <c r="AC106" s="216"/>
      <c r="AD106" s="216"/>
      <c r="AE106" s="216"/>
      <c r="AF106" s="212"/>
      <c r="AG106" s="212"/>
      <c r="AH106" s="212"/>
      <c r="AI106" s="216"/>
      <c r="AJ106" s="216"/>
      <c r="AK106" s="216"/>
      <c r="AL106" s="216"/>
      <c r="AM106" s="216"/>
      <c r="AN106" s="216"/>
      <c r="AO106" s="216"/>
      <c r="AP106" s="217"/>
      <c r="AQ106" s="212"/>
      <c r="AR106" s="212"/>
      <c r="AS106" s="212"/>
      <c r="AT106" s="212"/>
      <c r="AU106" s="212"/>
      <c r="AV106" s="212"/>
      <c r="AW106" s="212"/>
      <c r="AX106" s="212"/>
      <c r="AY106" s="212"/>
      <c r="AZ106" s="212"/>
      <c r="BA106" s="212"/>
      <c r="BB106" s="212"/>
      <c r="BC106" s="212"/>
      <c r="BD106" s="212"/>
      <c r="BE106" s="212"/>
      <c r="BF106" s="216"/>
      <c r="BG106" s="212"/>
    </row>
    <row r="107" spans="1:59" ht="15.75" customHeight="1" x14ac:dyDescent="0.25">
      <c r="A107" s="212"/>
      <c r="B107" s="212"/>
      <c r="C107" s="212"/>
      <c r="D107" s="212"/>
      <c r="E107" s="216"/>
      <c r="F107" s="216"/>
      <c r="G107" s="269"/>
      <c r="H107" s="216"/>
      <c r="I107" s="218"/>
      <c r="J107" s="212"/>
      <c r="K107" s="212"/>
      <c r="L107" s="212"/>
      <c r="M107" s="212"/>
      <c r="N107" s="212"/>
      <c r="O107" s="217"/>
      <c r="P107" s="217"/>
      <c r="Q107" s="212"/>
      <c r="R107" s="212"/>
      <c r="S107" s="217"/>
      <c r="T107" s="217"/>
      <c r="U107" s="212"/>
      <c r="V107" s="212"/>
      <c r="W107" s="212"/>
      <c r="X107" s="212"/>
      <c r="Y107" s="212"/>
      <c r="Z107" s="212"/>
      <c r="AA107" s="219"/>
      <c r="AB107" s="216"/>
      <c r="AC107" s="216"/>
      <c r="AD107" s="216"/>
      <c r="AE107" s="216"/>
      <c r="AF107" s="212"/>
      <c r="AG107" s="212"/>
      <c r="AH107" s="212"/>
      <c r="AI107" s="216"/>
      <c r="AJ107" s="216"/>
      <c r="AK107" s="216"/>
      <c r="AL107" s="216"/>
      <c r="AM107" s="216"/>
      <c r="AN107" s="216"/>
      <c r="AO107" s="216"/>
      <c r="AP107" s="217"/>
      <c r="AQ107" s="212"/>
      <c r="AR107" s="212"/>
      <c r="AS107" s="212"/>
      <c r="AT107" s="212"/>
      <c r="AU107" s="212"/>
      <c r="AV107" s="212"/>
      <c r="AW107" s="212"/>
      <c r="AX107" s="212"/>
      <c r="AY107" s="212"/>
      <c r="AZ107" s="212"/>
      <c r="BA107" s="212"/>
      <c r="BB107" s="212"/>
      <c r="BC107" s="212"/>
      <c r="BD107" s="212"/>
      <c r="BE107" s="212"/>
      <c r="BF107" s="216"/>
      <c r="BG107" s="212"/>
    </row>
    <row r="108" spans="1:59" ht="15.75" customHeight="1" x14ac:dyDescent="0.25">
      <c r="A108" s="212"/>
      <c r="B108" s="212"/>
      <c r="C108" s="212"/>
      <c r="D108" s="212"/>
      <c r="E108" s="216"/>
      <c r="F108" s="216"/>
      <c r="G108" s="269"/>
      <c r="H108" s="216"/>
      <c r="I108" s="218"/>
      <c r="J108" s="212"/>
      <c r="K108" s="212"/>
      <c r="L108" s="212"/>
      <c r="M108" s="212"/>
      <c r="N108" s="212"/>
      <c r="O108" s="217"/>
      <c r="P108" s="217"/>
      <c r="Q108" s="212"/>
      <c r="R108" s="212"/>
      <c r="S108" s="217"/>
      <c r="T108" s="217"/>
      <c r="U108" s="212"/>
      <c r="V108" s="212"/>
      <c r="W108" s="212"/>
      <c r="X108" s="212"/>
      <c r="Y108" s="212"/>
      <c r="Z108" s="212"/>
      <c r="AA108" s="219"/>
      <c r="AB108" s="216"/>
      <c r="AC108" s="216"/>
      <c r="AD108" s="216"/>
      <c r="AE108" s="216"/>
      <c r="AF108" s="212"/>
      <c r="AG108" s="212"/>
      <c r="AH108" s="212"/>
      <c r="AI108" s="216"/>
      <c r="AJ108" s="216"/>
      <c r="AK108" s="216"/>
      <c r="AL108" s="216"/>
      <c r="AM108" s="216"/>
      <c r="AN108" s="216"/>
      <c r="AO108" s="216"/>
      <c r="AP108" s="217"/>
      <c r="AQ108" s="212"/>
      <c r="AR108" s="212"/>
      <c r="AS108" s="212"/>
      <c r="AT108" s="212"/>
      <c r="AU108" s="212"/>
      <c r="AV108" s="212"/>
      <c r="AW108" s="212"/>
      <c r="AX108" s="212"/>
      <c r="AY108" s="212"/>
      <c r="AZ108" s="212"/>
      <c r="BA108" s="212"/>
      <c r="BB108" s="212"/>
      <c r="BC108" s="212"/>
      <c r="BD108" s="212"/>
      <c r="BE108" s="212"/>
      <c r="BF108" s="216"/>
      <c r="BG108" s="212"/>
    </row>
    <row r="109" spans="1:59" ht="15.75" customHeight="1" x14ac:dyDescent="0.25">
      <c r="A109" s="212"/>
      <c r="B109" s="212"/>
      <c r="C109" s="212"/>
      <c r="D109" s="212"/>
      <c r="E109" s="216"/>
      <c r="F109" s="216"/>
      <c r="G109" s="269"/>
      <c r="H109" s="216"/>
      <c r="I109" s="218"/>
      <c r="J109" s="212"/>
      <c r="K109" s="212"/>
      <c r="L109" s="212"/>
      <c r="M109" s="212"/>
      <c r="N109" s="212"/>
      <c r="O109" s="217"/>
      <c r="P109" s="217"/>
      <c r="Q109" s="212"/>
      <c r="R109" s="212"/>
      <c r="S109" s="217"/>
      <c r="T109" s="217"/>
      <c r="U109" s="212"/>
      <c r="V109" s="212"/>
      <c r="W109" s="212"/>
      <c r="X109" s="212"/>
      <c r="Y109" s="212"/>
      <c r="Z109" s="212"/>
      <c r="AA109" s="219"/>
      <c r="AB109" s="216"/>
      <c r="AC109" s="216"/>
      <c r="AD109" s="216"/>
      <c r="AE109" s="216"/>
      <c r="AF109" s="212"/>
      <c r="AG109" s="212"/>
      <c r="AH109" s="212"/>
      <c r="AI109" s="216"/>
      <c r="AJ109" s="216"/>
      <c r="AK109" s="216"/>
      <c r="AL109" s="216"/>
      <c r="AM109" s="216"/>
      <c r="AN109" s="216"/>
      <c r="AO109" s="216"/>
      <c r="AP109" s="217"/>
      <c r="AQ109" s="212"/>
      <c r="AR109" s="212"/>
      <c r="AS109" s="212"/>
      <c r="AT109" s="212"/>
      <c r="AU109" s="212"/>
      <c r="AV109" s="212"/>
      <c r="AW109" s="212"/>
      <c r="AX109" s="212"/>
      <c r="AY109" s="212"/>
      <c r="AZ109" s="212"/>
      <c r="BA109" s="212"/>
      <c r="BB109" s="212"/>
      <c r="BC109" s="212"/>
      <c r="BD109" s="212"/>
      <c r="BE109" s="212"/>
      <c r="BF109" s="216"/>
      <c r="BG109" s="212"/>
    </row>
    <row r="110" spans="1:59" ht="15.75" customHeight="1" x14ac:dyDescent="0.25">
      <c r="A110" s="212"/>
      <c r="B110" s="212"/>
      <c r="C110" s="212"/>
      <c r="D110" s="212"/>
      <c r="E110" s="216"/>
      <c r="F110" s="216"/>
      <c r="G110" s="269"/>
      <c r="H110" s="216"/>
      <c r="I110" s="218"/>
      <c r="J110" s="212"/>
      <c r="K110" s="212"/>
      <c r="L110" s="212"/>
      <c r="M110" s="212"/>
      <c r="N110" s="212"/>
      <c r="O110" s="217"/>
      <c r="P110" s="217"/>
      <c r="Q110" s="212"/>
      <c r="R110" s="212"/>
      <c r="S110" s="217"/>
      <c r="T110" s="217"/>
      <c r="U110" s="212"/>
      <c r="V110" s="212"/>
      <c r="W110" s="212"/>
      <c r="X110" s="212"/>
      <c r="Y110" s="212"/>
      <c r="Z110" s="212"/>
      <c r="AA110" s="219"/>
      <c r="AB110" s="216"/>
      <c r="AC110" s="216"/>
      <c r="AD110" s="216"/>
      <c r="AE110" s="216"/>
      <c r="AF110" s="212"/>
      <c r="AG110" s="212"/>
      <c r="AH110" s="212"/>
      <c r="AI110" s="216"/>
      <c r="AJ110" s="216"/>
      <c r="AK110" s="216"/>
      <c r="AL110" s="216"/>
      <c r="AM110" s="216"/>
      <c r="AN110" s="216"/>
      <c r="AO110" s="216"/>
      <c r="AP110" s="217"/>
      <c r="AQ110" s="212"/>
      <c r="AR110" s="212"/>
      <c r="AS110" s="212"/>
      <c r="AT110" s="212"/>
      <c r="AU110" s="212"/>
      <c r="AV110" s="212"/>
      <c r="AW110" s="212"/>
      <c r="AX110" s="212"/>
      <c r="AY110" s="212"/>
      <c r="AZ110" s="212"/>
      <c r="BA110" s="212"/>
      <c r="BB110" s="212"/>
      <c r="BC110" s="212"/>
      <c r="BD110" s="212"/>
      <c r="BE110" s="212"/>
      <c r="BF110" s="216"/>
      <c r="BG110" s="212"/>
    </row>
    <row r="111" spans="1:59" ht="15.75" customHeight="1" x14ac:dyDescent="0.25">
      <c r="A111" s="212"/>
      <c r="B111" s="212"/>
      <c r="C111" s="212"/>
      <c r="D111" s="212"/>
      <c r="E111" s="216"/>
      <c r="F111" s="216"/>
      <c r="G111" s="269"/>
      <c r="H111" s="216"/>
      <c r="I111" s="218"/>
      <c r="J111" s="212"/>
      <c r="K111" s="212"/>
      <c r="L111" s="212"/>
      <c r="M111" s="212"/>
      <c r="N111" s="212"/>
      <c r="O111" s="217"/>
      <c r="P111" s="217"/>
      <c r="Q111" s="212"/>
      <c r="R111" s="212"/>
      <c r="S111" s="217"/>
      <c r="T111" s="217"/>
      <c r="U111" s="212"/>
      <c r="V111" s="212"/>
      <c r="W111" s="212"/>
      <c r="X111" s="212"/>
      <c r="Y111" s="212"/>
      <c r="Z111" s="212"/>
      <c r="AA111" s="219"/>
      <c r="AB111" s="216"/>
      <c r="AC111" s="216"/>
      <c r="AD111" s="216"/>
      <c r="AE111" s="216"/>
      <c r="AF111" s="212"/>
      <c r="AG111" s="212"/>
      <c r="AH111" s="212"/>
      <c r="AI111" s="216"/>
      <c r="AJ111" s="216"/>
      <c r="AK111" s="216"/>
      <c r="AL111" s="216"/>
      <c r="AM111" s="216"/>
      <c r="AN111" s="216"/>
      <c r="AO111" s="216"/>
      <c r="AP111" s="217"/>
      <c r="AQ111" s="212"/>
      <c r="AR111" s="212"/>
      <c r="AS111" s="212"/>
      <c r="AT111" s="212"/>
      <c r="AU111" s="212"/>
      <c r="AV111" s="212"/>
      <c r="AW111" s="212"/>
      <c r="AX111" s="212"/>
      <c r="AY111" s="212"/>
      <c r="AZ111" s="212"/>
      <c r="BA111" s="212"/>
      <c r="BB111" s="212"/>
      <c r="BC111" s="212"/>
      <c r="BD111" s="212"/>
      <c r="BE111" s="212"/>
      <c r="BF111" s="216"/>
      <c r="BG111" s="212"/>
    </row>
    <row r="112" spans="1:59" ht="15.75" customHeight="1" x14ac:dyDescent="0.25">
      <c r="A112" s="212"/>
      <c r="B112" s="212"/>
      <c r="C112" s="212"/>
      <c r="D112" s="212"/>
      <c r="E112" s="216"/>
      <c r="F112" s="216"/>
      <c r="G112" s="269"/>
      <c r="H112" s="216"/>
      <c r="I112" s="218"/>
      <c r="J112" s="212"/>
      <c r="K112" s="212"/>
      <c r="L112" s="212"/>
      <c r="M112" s="212"/>
      <c r="N112" s="212"/>
      <c r="O112" s="217"/>
      <c r="P112" s="217"/>
      <c r="Q112" s="212"/>
      <c r="R112" s="212"/>
      <c r="S112" s="217"/>
      <c r="T112" s="217"/>
      <c r="U112" s="212"/>
      <c r="V112" s="212"/>
      <c r="W112" s="212"/>
      <c r="X112" s="212"/>
      <c r="Y112" s="212"/>
      <c r="Z112" s="212"/>
      <c r="AA112" s="219"/>
      <c r="AB112" s="216"/>
      <c r="AC112" s="216"/>
      <c r="AD112" s="216"/>
      <c r="AE112" s="216"/>
      <c r="AF112" s="212"/>
      <c r="AG112" s="212"/>
      <c r="AH112" s="212"/>
      <c r="AI112" s="216"/>
      <c r="AJ112" s="216"/>
      <c r="AK112" s="216"/>
      <c r="AL112" s="216"/>
      <c r="AM112" s="216"/>
      <c r="AN112" s="216"/>
      <c r="AO112" s="216"/>
      <c r="AP112" s="217"/>
      <c r="AQ112" s="212"/>
      <c r="AR112" s="212"/>
      <c r="AS112" s="212"/>
      <c r="AT112" s="212"/>
      <c r="AU112" s="212"/>
      <c r="AV112" s="212"/>
      <c r="AW112" s="212"/>
      <c r="AX112" s="212"/>
      <c r="AY112" s="212"/>
      <c r="AZ112" s="212"/>
      <c r="BA112" s="212"/>
      <c r="BB112" s="212"/>
      <c r="BC112" s="212"/>
      <c r="BD112" s="212"/>
      <c r="BE112" s="212"/>
      <c r="BF112" s="216"/>
      <c r="BG112" s="212"/>
    </row>
    <row r="113" spans="1:59" ht="15.75" customHeight="1" x14ac:dyDescent="0.25">
      <c r="A113" s="212"/>
      <c r="B113" s="212"/>
      <c r="C113" s="212"/>
      <c r="D113" s="212"/>
      <c r="E113" s="216"/>
      <c r="F113" s="216"/>
      <c r="G113" s="269"/>
      <c r="H113" s="216"/>
      <c r="I113" s="218"/>
      <c r="J113" s="212"/>
      <c r="K113" s="212"/>
      <c r="L113" s="212"/>
      <c r="M113" s="212"/>
      <c r="N113" s="212"/>
      <c r="O113" s="217"/>
      <c r="P113" s="217"/>
      <c r="Q113" s="212"/>
      <c r="R113" s="212"/>
      <c r="S113" s="217"/>
      <c r="T113" s="217"/>
      <c r="U113" s="212"/>
      <c r="V113" s="212"/>
      <c r="W113" s="212"/>
      <c r="X113" s="212"/>
      <c r="Y113" s="212"/>
      <c r="Z113" s="212"/>
      <c r="AA113" s="219"/>
      <c r="AB113" s="216"/>
      <c r="AC113" s="216"/>
      <c r="AD113" s="216"/>
      <c r="AE113" s="216"/>
      <c r="AF113" s="212"/>
      <c r="AG113" s="212"/>
      <c r="AH113" s="212"/>
      <c r="AI113" s="216"/>
      <c r="AJ113" s="216"/>
      <c r="AK113" s="216"/>
      <c r="AL113" s="216"/>
      <c r="AM113" s="216"/>
      <c r="AN113" s="216"/>
      <c r="AO113" s="216"/>
      <c r="AP113" s="217"/>
      <c r="AQ113" s="212"/>
      <c r="AR113" s="212"/>
      <c r="AS113" s="212"/>
      <c r="AT113" s="212"/>
      <c r="AU113" s="212"/>
      <c r="AV113" s="212"/>
      <c r="AW113" s="212"/>
      <c r="AX113" s="212"/>
      <c r="AY113" s="212"/>
      <c r="AZ113" s="212"/>
      <c r="BA113" s="212"/>
      <c r="BB113" s="212"/>
      <c r="BC113" s="212"/>
      <c r="BD113" s="212"/>
      <c r="BE113" s="212"/>
      <c r="BF113" s="216"/>
      <c r="BG113" s="212"/>
    </row>
    <row r="114" spans="1:59" ht="15.75" customHeight="1" x14ac:dyDescent="0.25">
      <c r="A114" s="212"/>
      <c r="B114" s="212"/>
      <c r="C114" s="212"/>
      <c r="D114" s="212"/>
      <c r="E114" s="216"/>
      <c r="F114" s="216"/>
      <c r="G114" s="269"/>
      <c r="H114" s="216"/>
      <c r="I114" s="218"/>
      <c r="J114" s="212"/>
      <c r="K114" s="212"/>
      <c r="L114" s="212"/>
      <c r="M114" s="212"/>
      <c r="N114" s="212"/>
      <c r="O114" s="217"/>
      <c r="P114" s="217"/>
      <c r="Q114" s="212"/>
      <c r="R114" s="212"/>
      <c r="S114" s="217"/>
      <c r="T114" s="217"/>
      <c r="U114" s="212"/>
      <c r="V114" s="212"/>
      <c r="W114" s="212"/>
      <c r="X114" s="212"/>
      <c r="Y114" s="212"/>
      <c r="Z114" s="212"/>
      <c r="AA114" s="219"/>
      <c r="AB114" s="216"/>
      <c r="AC114" s="216"/>
      <c r="AD114" s="216"/>
      <c r="AE114" s="216"/>
      <c r="AF114" s="212"/>
      <c r="AG114" s="212"/>
      <c r="AH114" s="212"/>
      <c r="AI114" s="216"/>
      <c r="AJ114" s="216"/>
      <c r="AK114" s="216"/>
      <c r="AL114" s="216"/>
      <c r="AM114" s="216"/>
      <c r="AN114" s="216"/>
      <c r="AO114" s="216"/>
      <c r="AP114" s="217"/>
      <c r="AQ114" s="212"/>
      <c r="AR114" s="212"/>
      <c r="AS114" s="212"/>
      <c r="AT114" s="212"/>
      <c r="AU114" s="212"/>
      <c r="AV114" s="212"/>
      <c r="AW114" s="212"/>
      <c r="AX114" s="212"/>
      <c r="AY114" s="212"/>
      <c r="AZ114" s="212"/>
      <c r="BA114" s="212"/>
      <c r="BB114" s="212"/>
      <c r="BC114" s="212"/>
      <c r="BD114" s="212"/>
      <c r="BE114" s="212"/>
      <c r="BF114" s="216"/>
      <c r="BG114" s="212"/>
    </row>
    <row r="115" spans="1:59" ht="15.75" customHeight="1" x14ac:dyDescent="0.25">
      <c r="A115" s="212"/>
      <c r="B115" s="212"/>
      <c r="C115" s="212"/>
      <c r="D115" s="212"/>
      <c r="E115" s="216"/>
      <c r="F115" s="216"/>
      <c r="G115" s="269"/>
      <c r="H115" s="216"/>
      <c r="I115" s="218"/>
      <c r="J115" s="212"/>
      <c r="K115" s="212"/>
      <c r="L115" s="212"/>
      <c r="M115" s="212"/>
      <c r="N115" s="212"/>
      <c r="O115" s="217"/>
      <c r="P115" s="217"/>
      <c r="Q115" s="212"/>
      <c r="R115" s="212"/>
      <c r="S115" s="217"/>
      <c r="T115" s="217"/>
      <c r="U115" s="212"/>
      <c r="V115" s="212"/>
      <c r="W115" s="212"/>
      <c r="X115" s="212"/>
      <c r="Y115" s="212"/>
      <c r="Z115" s="212"/>
      <c r="AA115" s="219"/>
      <c r="AB115" s="216"/>
      <c r="AC115" s="216"/>
      <c r="AD115" s="216"/>
      <c r="AE115" s="216"/>
      <c r="AF115" s="212"/>
      <c r="AG115" s="212"/>
      <c r="AH115" s="212"/>
      <c r="AI115" s="216"/>
      <c r="AJ115" s="216"/>
      <c r="AK115" s="216"/>
      <c r="AL115" s="216"/>
      <c r="AM115" s="216"/>
      <c r="AN115" s="216"/>
      <c r="AO115" s="216"/>
      <c r="AP115" s="217"/>
      <c r="AQ115" s="212"/>
      <c r="AR115" s="212"/>
      <c r="AS115" s="212"/>
      <c r="AT115" s="212"/>
      <c r="AU115" s="212"/>
      <c r="AV115" s="212"/>
      <c r="AW115" s="212"/>
      <c r="AX115" s="212"/>
      <c r="AY115" s="212"/>
      <c r="AZ115" s="212"/>
      <c r="BA115" s="212"/>
      <c r="BB115" s="212"/>
      <c r="BC115" s="212"/>
      <c r="BD115" s="212"/>
      <c r="BE115" s="212"/>
      <c r="BF115" s="216"/>
      <c r="BG115" s="212"/>
    </row>
    <row r="116" spans="1:59" ht="15.75" customHeight="1" x14ac:dyDescent="0.25">
      <c r="A116" s="212"/>
      <c r="B116" s="212"/>
      <c r="C116" s="212"/>
      <c r="D116" s="212"/>
      <c r="E116" s="216"/>
      <c r="F116" s="216"/>
      <c r="G116" s="269"/>
      <c r="H116" s="216"/>
      <c r="I116" s="218"/>
      <c r="J116" s="212"/>
      <c r="K116" s="212"/>
      <c r="L116" s="212"/>
      <c r="M116" s="212"/>
      <c r="N116" s="212"/>
      <c r="O116" s="217"/>
      <c r="P116" s="217"/>
      <c r="Q116" s="212"/>
      <c r="R116" s="212"/>
      <c r="S116" s="217"/>
      <c r="T116" s="217"/>
      <c r="U116" s="212"/>
      <c r="V116" s="212"/>
      <c r="W116" s="212"/>
      <c r="X116" s="212"/>
      <c r="Y116" s="212"/>
      <c r="Z116" s="212"/>
      <c r="AA116" s="219"/>
      <c r="AB116" s="216"/>
      <c r="AC116" s="216"/>
      <c r="AD116" s="216"/>
      <c r="AE116" s="216"/>
      <c r="AF116" s="212"/>
      <c r="AG116" s="212"/>
      <c r="AH116" s="212"/>
      <c r="AI116" s="216"/>
      <c r="AJ116" s="216"/>
      <c r="AK116" s="216"/>
      <c r="AL116" s="216"/>
      <c r="AM116" s="216"/>
      <c r="AN116" s="216"/>
      <c r="AO116" s="216"/>
      <c r="AP116" s="217"/>
      <c r="AQ116" s="212"/>
      <c r="AR116" s="212"/>
      <c r="AS116" s="212"/>
      <c r="AT116" s="212"/>
      <c r="AU116" s="212"/>
      <c r="AV116" s="212"/>
      <c r="AW116" s="212"/>
      <c r="AX116" s="212"/>
      <c r="AY116" s="212"/>
      <c r="AZ116" s="212"/>
      <c r="BA116" s="212"/>
      <c r="BB116" s="212"/>
      <c r="BC116" s="212"/>
      <c r="BD116" s="212"/>
      <c r="BE116" s="212"/>
      <c r="BF116" s="216"/>
      <c r="BG116" s="212"/>
    </row>
    <row r="117" spans="1:59" ht="15.75" customHeight="1" x14ac:dyDescent="0.25">
      <c r="A117" s="212"/>
      <c r="B117" s="212"/>
      <c r="C117" s="212"/>
      <c r="D117" s="212"/>
      <c r="E117" s="216"/>
      <c r="F117" s="216"/>
      <c r="G117" s="269"/>
      <c r="H117" s="216"/>
      <c r="I117" s="218"/>
      <c r="J117" s="212"/>
      <c r="K117" s="212"/>
      <c r="L117" s="212"/>
      <c r="M117" s="212"/>
      <c r="N117" s="212"/>
      <c r="O117" s="217"/>
      <c r="P117" s="217"/>
      <c r="Q117" s="212"/>
      <c r="R117" s="212"/>
      <c r="S117" s="217"/>
      <c r="T117" s="217"/>
      <c r="U117" s="212"/>
      <c r="V117" s="212"/>
      <c r="W117" s="212"/>
      <c r="X117" s="212"/>
      <c r="Y117" s="212"/>
      <c r="Z117" s="212"/>
      <c r="AA117" s="219"/>
      <c r="AB117" s="216"/>
      <c r="AC117" s="216"/>
      <c r="AD117" s="216"/>
      <c r="AE117" s="216"/>
      <c r="AF117" s="212"/>
      <c r="AG117" s="212"/>
      <c r="AH117" s="212"/>
      <c r="AI117" s="216"/>
      <c r="AJ117" s="216"/>
      <c r="AK117" s="216"/>
      <c r="AL117" s="216"/>
      <c r="AM117" s="216"/>
      <c r="AN117" s="216"/>
      <c r="AO117" s="216"/>
      <c r="AP117" s="217"/>
      <c r="AQ117" s="212"/>
      <c r="AR117" s="212"/>
      <c r="AS117" s="212"/>
      <c r="AT117" s="212"/>
      <c r="AU117" s="212"/>
      <c r="AV117" s="212"/>
      <c r="AW117" s="212"/>
      <c r="AX117" s="212"/>
      <c r="AY117" s="212"/>
      <c r="AZ117" s="212"/>
      <c r="BA117" s="212"/>
      <c r="BB117" s="212"/>
      <c r="BC117" s="212"/>
      <c r="BD117" s="212"/>
      <c r="BE117" s="212"/>
      <c r="BF117" s="216"/>
      <c r="BG117" s="212"/>
    </row>
    <row r="118" spans="1:59" ht="15.75" customHeight="1" x14ac:dyDescent="0.25">
      <c r="A118" s="212"/>
      <c r="B118" s="212"/>
      <c r="C118" s="212"/>
      <c r="D118" s="212"/>
      <c r="E118" s="216"/>
      <c r="F118" s="216"/>
      <c r="G118" s="269"/>
      <c r="H118" s="216"/>
      <c r="I118" s="218"/>
      <c r="J118" s="212"/>
      <c r="K118" s="212"/>
      <c r="L118" s="212"/>
      <c r="M118" s="212"/>
      <c r="N118" s="212"/>
      <c r="O118" s="217"/>
      <c r="P118" s="217"/>
      <c r="Q118" s="212"/>
      <c r="R118" s="212"/>
      <c r="S118" s="217"/>
      <c r="T118" s="217"/>
      <c r="U118" s="212"/>
      <c r="V118" s="212"/>
      <c r="W118" s="212"/>
      <c r="X118" s="212"/>
      <c r="Y118" s="212"/>
      <c r="Z118" s="212"/>
      <c r="AA118" s="219"/>
      <c r="AB118" s="216"/>
      <c r="AC118" s="216"/>
      <c r="AD118" s="216"/>
      <c r="AE118" s="216"/>
      <c r="AF118" s="212"/>
      <c r="AG118" s="212"/>
      <c r="AH118" s="212"/>
      <c r="AI118" s="216"/>
      <c r="AJ118" s="216"/>
      <c r="AK118" s="216"/>
      <c r="AL118" s="216"/>
      <c r="AM118" s="216"/>
      <c r="AN118" s="216"/>
      <c r="AO118" s="216"/>
      <c r="AP118" s="217"/>
      <c r="AQ118" s="212"/>
      <c r="AR118" s="212"/>
      <c r="AS118" s="212"/>
      <c r="AT118" s="212"/>
      <c r="AU118" s="212"/>
      <c r="AV118" s="212"/>
      <c r="AW118" s="212"/>
      <c r="AX118" s="212"/>
      <c r="AY118" s="212"/>
      <c r="AZ118" s="212"/>
      <c r="BA118" s="212"/>
      <c r="BB118" s="212"/>
      <c r="BC118" s="212"/>
      <c r="BD118" s="212"/>
      <c r="BE118" s="212"/>
      <c r="BF118" s="216"/>
      <c r="BG118" s="212"/>
    </row>
    <row r="119" spans="1:59" ht="15.75" customHeight="1" x14ac:dyDescent="0.25">
      <c r="A119" s="212"/>
      <c r="B119" s="212"/>
      <c r="C119" s="212"/>
      <c r="D119" s="212"/>
      <c r="E119" s="216"/>
      <c r="F119" s="216"/>
      <c r="G119" s="269"/>
      <c r="H119" s="216"/>
      <c r="I119" s="218"/>
      <c r="J119" s="212"/>
      <c r="K119" s="212"/>
      <c r="L119" s="212"/>
      <c r="M119" s="212"/>
      <c r="N119" s="212"/>
      <c r="O119" s="217"/>
      <c r="P119" s="217"/>
      <c r="Q119" s="212"/>
      <c r="R119" s="212"/>
      <c r="S119" s="217"/>
      <c r="T119" s="217"/>
      <c r="U119" s="212"/>
      <c r="V119" s="212"/>
      <c r="W119" s="212"/>
      <c r="X119" s="212"/>
      <c r="Y119" s="212"/>
      <c r="Z119" s="212"/>
      <c r="AA119" s="219"/>
      <c r="AB119" s="216"/>
      <c r="AC119" s="216"/>
      <c r="AD119" s="216"/>
      <c r="AE119" s="216"/>
      <c r="AF119" s="212"/>
      <c r="AG119" s="212"/>
      <c r="AH119" s="212"/>
      <c r="AI119" s="216"/>
      <c r="AJ119" s="216"/>
      <c r="AK119" s="216"/>
      <c r="AL119" s="216"/>
      <c r="AM119" s="216"/>
      <c r="AN119" s="216"/>
      <c r="AO119" s="216"/>
      <c r="AP119" s="217"/>
      <c r="AQ119" s="212"/>
      <c r="AR119" s="212"/>
      <c r="AS119" s="212"/>
      <c r="AT119" s="212"/>
      <c r="AU119" s="212"/>
      <c r="AV119" s="212"/>
      <c r="AW119" s="212"/>
      <c r="AX119" s="212"/>
      <c r="AY119" s="212"/>
      <c r="AZ119" s="212"/>
      <c r="BA119" s="212"/>
      <c r="BB119" s="212"/>
      <c r="BC119" s="212"/>
      <c r="BD119" s="212"/>
      <c r="BE119" s="212"/>
      <c r="BF119" s="216"/>
      <c r="BG119" s="212"/>
    </row>
    <row r="120" spans="1:59" ht="15.75" customHeight="1" x14ac:dyDescent="0.25">
      <c r="A120" s="212"/>
      <c r="B120" s="212"/>
      <c r="C120" s="212"/>
      <c r="D120" s="212"/>
      <c r="E120" s="216"/>
      <c r="F120" s="216"/>
      <c r="G120" s="269"/>
      <c r="H120" s="216"/>
      <c r="I120" s="218"/>
      <c r="J120" s="212"/>
      <c r="K120" s="212"/>
      <c r="L120" s="212"/>
      <c r="M120" s="212"/>
      <c r="N120" s="212"/>
      <c r="O120" s="217"/>
      <c r="P120" s="217"/>
      <c r="Q120" s="212"/>
      <c r="R120" s="212"/>
      <c r="S120" s="217"/>
      <c r="T120" s="217"/>
      <c r="U120" s="212"/>
      <c r="V120" s="212"/>
      <c r="W120" s="212"/>
      <c r="X120" s="212"/>
      <c r="Y120" s="212"/>
      <c r="Z120" s="212"/>
      <c r="AA120" s="219"/>
      <c r="AB120" s="216"/>
      <c r="AC120" s="216"/>
      <c r="AD120" s="216"/>
      <c r="AE120" s="216"/>
      <c r="AF120" s="212"/>
      <c r="AG120" s="212"/>
      <c r="AH120" s="212"/>
      <c r="AI120" s="216"/>
      <c r="AJ120" s="216"/>
      <c r="AK120" s="216"/>
      <c r="AL120" s="216"/>
      <c r="AM120" s="216"/>
      <c r="AN120" s="216"/>
      <c r="AO120" s="216"/>
      <c r="AP120" s="217"/>
      <c r="AQ120" s="212"/>
      <c r="AR120" s="212"/>
      <c r="AS120" s="212"/>
      <c r="AT120" s="212"/>
      <c r="AU120" s="212"/>
      <c r="AV120" s="212"/>
      <c r="AW120" s="212"/>
      <c r="AX120" s="212"/>
      <c r="AY120" s="212"/>
      <c r="AZ120" s="212"/>
      <c r="BA120" s="212"/>
      <c r="BB120" s="212"/>
      <c r="BC120" s="212"/>
      <c r="BD120" s="212"/>
      <c r="BE120" s="212"/>
      <c r="BF120" s="216"/>
      <c r="BG120" s="212"/>
    </row>
    <row r="121" spans="1:59" ht="15.75" customHeight="1" x14ac:dyDescent="0.25">
      <c r="A121" s="212"/>
      <c r="B121" s="212"/>
      <c r="C121" s="212"/>
      <c r="D121" s="212"/>
      <c r="E121" s="216"/>
      <c r="F121" s="216"/>
      <c r="G121" s="269"/>
      <c r="H121" s="216"/>
      <c r="I121" s="218"/>
      <c r="J121" s="212"/>
      <c r="K121" s="212"/>
      <c r="L121" s="212"/>
      <c r="M121" s="212"/>
      <c r="N121" s="212"/>
      <c r="O121" s="217"/>
      <c r="P121" s="217"/>
      <c r="Q121" s="212"/>
      <c r="R121" s="212"/>
      <c r="S121" s="217"/>
      <c r="T121" s="217"/>
      <c r="U121" s="212"/>
      <c r="V121" s="212"/>
      <c r="W121" s="212"/>
      <c r="X121" s="212"/>
      <c r="Y121" s="212"/>
      <c r="Z121" s="212"/>
      <c r="AA121" s="219"/>
      <c r="AB121" s="216"/>
      <c r="AC121" s="216"/>
      <c r="AD121" s="216"/>
      <c r="AE121" s="216"/>
      <c r="AF121" s="212"/>
      <c r="AG121" s="212"/>
      <c r="AH121" s="212"/>
      <c r="AI121" s="216"/>
      <c r="AJ121" s="216"/>
      <c r="AK121" s="216"/>
      <c r="AL121" s="216"/>
      <c r="AM121" s="216"/>
      <c r="AN121" s="216"/>
      <c r="AO121" s="216"/>
      <c r="AP121" s="217"/>
      <c r="AQ121" s="212"/>
      <c r="AR121" s="212"/>
      <c r="AS121" s="212"/>
      <c r="AT121" s="212"/>
      <c r="AU121" s="212"/>
      <c r="AV121" s="212"/>
      <c r="AW121" s="212"/>
      <c r="AX121" s="212"/>
      <c r="AY121" s="212"/>
      <c r="AZ121" s="212"/>
      <c r="BA121" s="212"/>
      <c r="BB121" s="212"/>
      <c r="BC121" s="212"/>
      <c r="BD121" s="212"/>
      <c r="BE121" s="212"/>
      <c r="BF121" s="216"/>
      <c r="BG121" s="212"/>
    </row>
    <row r="122" spans="1:59" ht="15.75" customHeight="1" x14ac:dyDescent="0.25">
      <c r="A122" s="212"/>
      <c r="B122" s="212"/>
      <c r="C122" s="212"/>
      <c r="D122" s="212"/>
      <c r="E122" s="216"/>
      <c r="F122" s="216"/>
      <c r="G122" s="269"/>
      <c r="H122" s="216"/>
      <c r="I122" s="218"/>
      <c r="J122" s="212"/>
      <c r="K122" s="212"/>
      <c r="L122" s="212"/>
      <c r="M122" s="212"/>
      <c r="N122" s="212"/>
      <c r="O122" s="217"/>
      <c r="P122" s="217"/>
      <c r="Q122" s="212"/>
      <c r="R122" s="212"/>
      <c r="S122" s="217"/>
      <c r="T122" s="217"/>
      <c r="U122" s="212"/>
      <c r="V122" s="212"/>
      <c r="W122" s="212"/>
      <c r="X122" s="212"/>
      <c r="Y122" s="212"/>
      <c r="Z122" s="212"/>
      <c r="AA122" s="219"/>
      <c r="AB122" s="216"/>
      <c r="AC122" s="216"/>
      <c r="AD122" s="216"/>
      <c r="AE122" s="216"/>
      <c r="AF122" s="212"/>
      <c r="AG122" s="212"/>
      <c r="AH122" s="212"/>
      <c r="AI122" s="216"/>
      <c r="AJ122" s="216"/>
      <c r="AK122" s="216"/>
      <c r="AL122" s="216"/>
      <c r="AM122" s="216"/>
      <c r="AN122" s="216"/>
      <c r="AO122" s="216"/>
      <c r="AP122" s="217"/>
      <c r="AQ122" s="212"/>
      <c r="AR122" s="212"/>
      <c r="AS122" s="212"/>
      <c r="AT122" s="212"/>
      <c r="AU122" s="212"/>
      <c r="AV122" s="212"/>
      <c r="AW122" s="212"/>
      <c r="AX122" s="212"/>
      <c r="AY122" s="212"/>
      <c r="AZ122" s="212"/>
      <c r="BA122" s="212"/>
      <c r="BB122" s="212"/>
      <c r="BC122" s="212"/>
      <c r="BD122" s="212"/>
      <c r="BE122" s="212"/>
      <c r="BF122" s="216"/>
      <c r="BG122" s="212"/>
    </row>
    <row r="123" spans="1:59" ht="15.75" customHeight="1" x14ac:dyDescent="0.25">
      <c r="A123" s="212"/>
      <c r="B123" s="212"/>
      <c r="C123" s="212"/>
      <c r="D123" s="212"/>
      <c r="E123" s="216"/>
      <c r="F123" s="216"/>
      <c r="G123" s="269"/>
      <c r="H123" s="216"/>
      <c r="I123" s="218"/>
      <c r="J123" s="212"/>
      <c r="K123" s="212"/>
      <c r="L123" s="212"/>
      <c r="M123" s="212"/>
      <c r="N123" s="212"/>
      <c r="O123" s="217"/>
      <c r="P123" s="217"/>
      <c r="Q123" s="212"/>
      <c r="R123" s="212"/>
      <c r="S123" s="217"/>
      <c r="T123" s="217"/>
      <c r="U123" s="212"/>
      <c r="V123" s="212"/>
      <c r="W123" s="212"/>
      <c r="X123" s="212"/>
      <c r="Y123" s="212"/>
      <c r="Z123" s="212"/>
      <c r="AA123" s="219"/>
      <c r="AB123" s="216"/>
      <c r="AC123" s="216"/>
      <c r="AD123" s="216"/>
      <c r="AE123" s="216"/>
      <c r="AF123" s="212"/>
      <c r="AG123" s="212"/>
      <c r="AH123" s="212"/>
      <c r="AI123" s="216"/>
      <c r="AJ123" s="216"/>
      <c r="AK123" s="216"/>
      <c r="AL123" s="216"/>
      <c r="AM123" s="216"/>
      <c r="AN123" s="216"/>
      <c r="AO123" s="216"/>
      <c r="AP123" s="217"/>
      <c r="AQ123" s="212"/>
      <c r="AR123" s="212"/>
      <c r="AS123" s="212"/>
      <c r="AT123" s="212"/>
      <c r="AU123" s="212"/>
      <c r="AV123" s="212"/>
      <c r="AW123" s="212"/>
      <c r="AX123" s="212"/>
      <c r="AY123" s="212"/>
      <c r="AZ123" s="212"/>
      <c r="BA123" s="212"/>
      <c r="BB123" s="212"/>
      <c r="BC123" s="212"/>
      <c r="BD123" s="212"/>
      <c r="BE123" s="212"/>
      <c r="BF123" s="216"/>
      <c r="BG123" s="212"/>
    </row>
    <row r="124" spans="1:59" ht="15.75" customHeight="1" x14ac:dyDescent="0.25">
      <c r="A124" s="212"/>
      <c r="B124" s="212"/>
      <c r="C124" s="212"/>
      <c r="D124" s="212"/>
      <c r="E124" s="216"/>
      <c r="F124" s="216"/>
      <c r="G124" s="269"/>
      <c r="H124" s="216"/>
      <c r="I124" s="218"/>
      <c r="J124" s="212"/>
      <c r="K124" s="212"/>
      <c r="L124" s="212"/>
      <c r="M124" s="212"/>
      <c r="N124" s="212"/>
      <c r="O124" s="217"/>
      <c r="P124" s="217"/>
      <c r="Q124" s="212"/>
      <c r="R124" s="212"/>
      <c r="S124" s="217"/>
      <c r="T124" s="217"/>
      <c r="U124" s="212"/>
      <c r="V124" s="212"/>
      <c r="W124" s="212"/>
      <c r="X124" s="212"/>
      <c r="Y124" s="212"/>
      <c r="Z124" s="212"/>
      <c r="AA124" s="219"/>
      <c r="AB124" s="216"/>
      <c r="AC124" s="216"/>
      <c r="AD124" s="216"/>
      <c r="AE124" s="216"/>
      <c r="AF124" s="212"/>
      <c r="AG124" s="212"/>
      <c r="AH124" s="212"/>
      <c r="AI124" s="216"/>
      <c r="AJ124" s="216"/>
      <c r="AK124" s="216"/>
      <c r="AL124" s="216"/>
      <c r="AM124" s="216"/>
      <c r="AN124" s="216"/>
      <c r="AO124" s="216"/>
      <c r="AP124" s="217"/>
      <c r="AQ124" s="212"/>
      <c r="AR124" s="212"/>
      <c r="AS124" s="212"/>
      <c r="AT124" s="212"/>
      <c r="AU124" s="212"/>
      <c r="AV124" s="212"/>
      <c r="AW124" s="212"/>
      <c r="AX124" s="212"/>
      <c r="AY124" s="212"/>
      <c r="AZ124" s="212"/>
      <c r="BA124" s="212"/>
      <c r="BB124" s="212"/>
      <c r="BC124" s="212"/>
      <c r="BD124" s="212"/>
      <c r="BE124" s="212"/>
      <c r="BF124" s="216"/>
      <c r="BG124" s="212"/>
    </row>
    <row r="125" spans="1:59" ht="15.75" customHeight="1" x14ac:dyDescent="0.25">
      <c r="A125" s="212"/>
      <c r="B125" s="212"/>
      <c r="C125" s="212"/>
      <c r="D125" s="212"/>
      <c r="E125" s="216"/>
      <c r="F125" s="216"/>
      <c r="G125" s="269"/>
      <c r="H125" s="216"/>
      <c r="I125" s="218"/>
      <c r="J125" s="212"/>
      <c r="K125" s="212"/>
      <c r="L125" s="212"/>
      <c r="M125" s="212"/>
      <c r="N125" s="212"/>
      <c r="O125" s="217"/>
      <c r="P125" s="217"/>
      <c r="Q125" s="212"/>
      <c r="R125" s="212"/>
      <c r="S125" s="217"/>
      <c r="T125" s="217"/>
      <c r="U125" s="212"/>
      <c r="V125" s="212"/>
      <c r="W125" s="212"/>
      <c r="X125" s="212"/>
      <c r="Y125" s="212"/>
      <c r="Z125" s="212"/>
      <c r="AA125" s="219"/>
      <c r="AB125" s="216"/>
      <c r="AC125" s="216"/>
      <c r="AD125" s="216"/>
      <c r="AE125" s="216"/>
      <c r="AF125" s="212"/>
      <c r="AG125" s="212"/>
      <c r="AH125" s="212"/>
      <c r="AI125" s="216"/>
      <c r="AJ125" s="216"/>
      <c r="AK125" s="216"/>
      <c r="AL125" s="216"/>
      <c r="AM125" s="216"/>
      <c r="AN125" s="216"/>
      <c r="AO125" s="216"/>
      <c r="AP125" s="217"/>
      <c r="AQ125" s="212"/>
      <c r="AR125" s="212"/>
      <c r="AS125" s="212"/>
      <c r="AT125" s="212"/>
      <c r="AU125" s="212"/>
      <c r="AV125" s="212"/>
      <c r="AW125" s="212"/>
      <c r="AX125" s="212"/>
      <c r="AY125" s="212"/>
      <c r="AZ125" s="212"/>
      <c r="BA125" s="212"/>
      <c r="BB125" s="212"/>
      <c r="BC125" s="212"/>
      <c r="BD125" s="212"/>
      <c r="BE125" s="212"/>
      <c r="BF125" s="216"/>
      <c r="BG125" s="212"/>
    </row>
    <row r="126" spans="1:59" ht="15.75" customHeight="1" x14ac:dyDescent="0.25">
      <c r="A126" s="212"/>
      <c r="B126" s="212"/>
      <c r="C126" s="212"/>
      <c r="D126" s="212"/>
      <c r="E126" s="216"/>
      <c r="F126" s="216"/>
      <c r="G126" s="269"/>
      <c r="H126" s="216"/>
      <c r="I126" s="218"/>
      <c r="J126" s="212"/>
      <c r="K126" s="212"/>
      <c r="L126" s="212"/>
      <c r="M126" s="212"/>
      <c r="N126" s="212"/>
      <c r="O126" s="217"/>
      <c r="P126" s="217"/>
      <c r="Q126" s="212"/>
      <c r="R126" s="212"/>
      <c r="S126" s="217"/>
      <c r="T126" s="217"/>
      <c r="U126" s="212"/>
      <c r="V126" s="212"/>
      <c r="W126" s="212"/>
      <c r="X126" s="212"/>
      <c r="Y126" s="212"/>
      <c r="Z126" s="212"/>
      <c r="AA126" s="219"/>
      <c r="AB126" s="216"/>
      <c r="AC126" s="216"/>
      <c r="AD126" s="216"/>
      <c r="AE126" s="216"/>
      <c r="AF126" s="212"/>
      <c r="AG126" s="212"/>
      <c r="AH126" s="212"/>
      <c r="AI126" s="216"/>
      <c r="AJ126" s="216"/>
      <c r="AK126" s="216"/>
      <c r="AL126" s="216"/>
      <c r="AM126" s="216"/>
      <c r="AN126" s="216"/>
      <c r="AO126" s="216"/>
      <c r="AP126" s="217"/>
      <c r="AQ126" s="212"/>
      <c r="AR126" s="212"/>
      <c r="AS126" s="212"/>
      <c r="AT126" s="212"/>
      <c r="AU126" s="212"/>
      <c r="AV126" s="212"/>
      <c r="AW126" s="212"/>
      <c r="AX126" s="212"/>
      <c r="AY126" s="212"/>
      <c r="AZ126" s="212"/>
      <c r="BA126" s="212"/>
      <c r="BB126" s="212"/>
      <c r="BC126" s="212"/>
      <c r="BD126" s="212"/>
      <c r="BE126" s="212"/>
      <c r="BF126" s="216"/>
      <c r="BG126" s="212"/>
    </row>
    <row r="127" spans="1:59" ht="15.75" customHeight="1" x14ac:dyDescent="0.25">
      <c r="A127" s="212"/>
      <c r="B127" s="212"/>
      <c r="C127" s="212"/>
      <c r="D127" s="212"/>
      <c r="E127" s="216"/>
      <c r="F127" s="216"/>
      <c r="G127" s="269"/>
      <c r="H127" s="216"/>
      <c r="I127" s="218"/>
      <c r="J127" s="212"/>
      <c r="K127" s="212"/>
      <c r="L127" s="212"/>
      <c r="M127" s="212"/>
      <c r="N127" s="212"/>
      <c r="O127" s="217"/>
      <c r="P127" s="217"/>
      <c r="Q127" s="212"/>
      <c r="R127" s="212"/>
      <c r="S127" s="217"/>
      <c r="T127" s="217"/>
      <c r="U127" s="212"/>
      <c r="V127" s="212"/>
      <c r="W127" s="212"/>
      <c r="X127" s="212"/>
      <c r="Y127" s="212"/>
      <c r="Z127" s="212"/>
      <c r="AA127" s="219"/>
      <c r="AB127" s="216"/>
      <c r="AC127" s="216"/>
      <c r="AD127" s="216"/>
      <c r="AE127" s="216"/>
      <c r="AF127" s="212"/>
      <c r="AG127" s="212"/>
      <c r="AH127" s="212"/>
      <c r="AI127" s="216"/>
      <c r="AJ127" s="216"/>
      <c r="AK127" s="216"/>
      <c r="AL127" s="216"/>
      <c r="AM127" s="216"/>
      <c r="AN127" s="216"/>
      <c r="AO127" s="216"/>
      <c r="AP127" s="217"/>
      <c r="AQ127" s="212"/>
      <c r="AR127" s="212"/>
      <c r="AS127" s="212"/>
      <c r="AT127" s="212"/>
      <c r="AU127" s="212"/>
      <c r="AV127" s="212"/>
      <c r="AW127" s="212"/>
      <c r="AX127" s="212"/>
      <c r="AY127" s="212"/>
      <c r="AZ127" s="212"/>
      <c r="BA127" s="212"/>
      <c r="BB127" s="212"/>
      <c r="BC127" s="212"/>
      <c r="BD127" s="212"/>
      <c r="BE127" s="212"/>
      <c r="BF127" s="216"/>
      <c r="BG127" s="212"/>
    </row>
    <row r="128" spans="1:59" ht="15.75" customHeight="1" x14ac:dyDescent="0.25">
      <c r="A128" s="212"/>
      <c r="B128" s="212"/>
      <c r="C128" s="212"/>
      <c r="D128" s="212"/>
      <c r="E128" s="216"/>
      <c r="F128" s="216"/>
      <c r="G128" s="269"/>
      <c r="H128" s="216"/>
      <c r="I128" s="218"/>
      <c r="J128" s="212"/>
      <c r="K128" s="212"/>
      <c r="L128" s="212"/>
      <c r="M128" s="212"/>
      <c r="N128" s="212"/>
      <c r="O128" s="217"/>
      <c r="P128" s="217"/>
      <c r="Q128" s="212"/>
      <c r="R128" s="212"/>
      <c r="S128" s="217"/>
      <c r="T128" s="217"/>
      <c r="U128" s="212"/>
      <c r="V128" s="212"/>
      <c r="W128" s="212"/>
      <c r="X128" s="212"/>
      <c r="Y128" s="212"/>
      <c r="Z128" s="212"/>
      <c r="AA128" s="219"/>
      <c r="AB128" s="216"/>
      <c r="AC128" s="216"/>
      <c r="AD128" s="216"/>
      <c r="AE128" s="216"/>
      <c r="AF128" s="212"/>
      <c r="AG128" s="212"/>
      <c r="AH128" s="212"/>
      <c r="AI128" s="216"/>
      <c r="AJ128" s="216"/>
      <c r="AK128" s="216"/>
      <c r="AL128" s="216"/>
      <c r="AM128" s="216"/>
      <c r="AN128" s="216"/>
      <c r="AO128" s="216"/>
      <c r="AP128" s="217"/>
      <c r="AQ128" s="212"/>
      <c r="AR128" s="212"/>
      <c r="AS128" s="212"/>
      <c r="AT128" s="212"/>
      <c r="AU128" s="212"/>
      <c r="AV128" s="212"/>
      <c r="AW128" s="212"/>
      <c r="AX128" s="212"/>
      <c r="AY128" s="212"/>
      <c r="AZ128" s="212"/>
      <c r="BA128" s="212"/>
      <c r="BB128" s="212"/>
      <c r="BC128" s="212"/>
      <c r="BD128" s="212"/>
      <c r="BE128" s="212"/>
      <c r="BF128" s="216"/>
      <c r="BG128" s="212"/>
    </row>
    <row r="129" spans="1:59" ht="15.75" customHeight="1" x14ac:dyDescent="0.25">
      <c r="A129" s="212"/>
      <c r="B129" s="212"/>
      <c r="C129" s="212"/>
      <c r="D129" s="212"/>
      <c r="E129" s="216"/>
      <c r="F129" s="216"/>
      <c r="G129" s="269"/>
      <c r="H129" s="216"/>
      <c r="I129" s="218"/>
      <c r="J129" s="212"/>
      <c r="K129" s="212"/>
      <c r="L129" s="212"/>
      <c r="M129" s="212"/>
      <c r="N129" s="212"/>
      <c r="O129" s="217"/>
      <c r="P129" s="217"/>
      <c r="Q129" s="212"/>
      <c r="R129" s="212"/>
      <c r="S129" s="217"/>
      <c r="T129" s="217"/>
      <c r="U129" s="212"/>
      <c r="V129" s="212"/>
      <c r="W129" s="212"/>
      <c r="X129" s="212"/>
      <c r="Y129" s="212"/>
      <c r="Z129" s="212"/>
      <c r="AA129" s="219"/>
      <c r="AB129" s="216"/>
      <c r="AC129" s="216"/>
      <c r="AD129" s="216"/>
      <c r="AE129" s="216"/>
      <c r="AF129" s="212"/>
      <c r="AG129" s="212"/>
      <c r="AH129" s="212"/>
      <c r="AI129" s="216"/>
      <c r="AJ129" s="216"/>
      <c r="AK129" s="216"/>
      <c r="AL129" s="216"/>
      <c r="AM129" s="216"/>
      <c r="AN129" s="216"/>
      <c r="AO129" s="216"/>
      <c r="AP129" s="217"/>
      <c r="AQ129" s="212"/>
      <c r="AR129" s="212"/>
      <c r="AS129" s="212"/>
      <c r="AT129" s="212"/>
      <c r="AU129" s="212"/>
      <c r="AV129" s="212"/>
      <c r="AW129" s="212"/>
      <c r="AX129" s="212"/>
      <c r="AY129" s="212"/>
      <c r="AZ129" s="212"/>
      <c r="BA129" s="212"/>
      <c r="BB129" s="212"/>
      <c r="BC129" s="212"/>
      <c r="BD129" s="212"/>
      <c r="BE129" s="212"/>
      <c r="BF129" s="216"/>
      <c r="BG129" s="212"/>
    </row>
    <row r="130" spans="1:59" ht="15.75" customHeight="1" x14ac:dyDescent="0.25">
      <c r="A130" s="212"/>
      <c r="B130" s="212"/>
      <c r="C130" s="212"/>
      <c r="D130" s="212"/>
      <c r="E130" s="216"/>
      <c r="F130" s="216"/>
      <c r="G130" s="269"/>
      <c r="H130" s="216"/>
      <c r="I130" s="218"/>
      <c r="J130" s="212"/>
      <c r="K130" s="212"/>
      <c r="L130" s="212"/>
      <c r="M130" s="212"/>
      <c r="N130" s="212"/>
      <c r="O130" s="217"/>
      <c r="P130" s="217"/>
      <c r="Q130" s="212"/>
      <c r="R130" s="212"/>
      <c r="S130" s="217"/>
      <c r="T130" s="217"/>
      <c r="U130" s="212"/>
      <c r="V130" s="212"/>
      <c r="W130" s="212"/>
      <c r="X130" s="212"/>
      <c r="Y130" s="212"/>
      <c r="Z130" s="212"/>
      <c r="AA130" s="219"/>
      <c r="AB130" s="216"/>
      <c r="AC130" s="216"/>
      <c r="AD130" s="216"/>
      <c r="AE130" s="216"/>
      <c r="AF130" s="212"/>
      <c r="AG130" s="212"/>
      <c r="AH130" s="212"/>
      <c r="AI130" s="216"/>
      <c r="AJ130" s="216"/>
      <c r="AK130" s="216"/>
      <c r="AL130" s="216"/>
      <c r="AM130" s="216"/>
      <c r="AN130" s="216"/>
      <c r="AO130" s="216"/>
      <c r="AP130" s="217"/>
      <c r="AQ130" s="212"/>
      <c r="AR130" s="212"/>
      <c r="AS130" s="212"/>
      <c r="AT130" s="212"/>
      <c r="AU130" s="212"/>
      <c r="AV130" s="212"/>
      <c r="AW130" s="212"/>
      <c r="AX130" s="212"/>
      <c r="AY130" s="212"/>
      <c r="AZ130" s="212"/>
      <c r="BA130" s="212"/>
      <c r="BB130" s="212"/>
      <c r="BC130" s="212"/>
      <c r="BD130" s="212"/>
      <c r="BE130" s="212"/>
      <c r="BF130" s="216"/>
      <c r="BG130" s="212"/>
    </row>
    <row r="131" spans="1:59" ht="15.75" customHeight="1" x14ac:dyDescent="0.25">
      <c r="A131" s="212"/>
      <c r="B131" s="212"/>
      <c r="C131" s="212"/>
      <c r="D131" s="212"/>
      <c r="E131" s="216"/>
      <c r="F131" s="216"/>
      <c r="G131" s="269"/>
      <c r="H131" s="216"/>
      <c r="I131" s="218"/>
      <c r="J131" s="212"/>
      <c r="K131" s="212"/>
      <c r="L131" s="212"/>
      <c r="M131" s="212"/>
      <c r="N131" s="212"/>
      <c r="O131" s="217"/>
      <c r="P131" s="217"/>
      <c r="Q131" s="212"/>
      <c r="R131" s="212"/>
      <c r="S131" s="217"/>
      <c r="T131" s="217"/>
      <c r="U131" s="212"/>
      <c r="V131" s="212"/>
      <c r="W131" s="212"/>
      <c r="X131" s="212"/>
      <c r="Y131" s="212"/>
      <c r="Z131" s="212"/>
      <c r="AA131" s="219"/>
      <c r="AB131" s="216"/>
      <c r="AC131" s="216"/>
      <c r="AD131" s="216"/>
      <c r="AE131" s="216"/>
      <c r="AF131" s="212"/>
      <c r="AG131" s="212"/>
      <c r="AH131" s="212"/>
      <c r="AI131" s="216"/>
      <c r="AJ131" s="216"/>
      <c r="AK131" s="216"/>
      <c r="AL131" s="216"/>
      <c r="AM131" s="216"/>
      <c r="AN131" s="216"/>
      <c r="AO131" s="216"/>
      <c r="AP131" s="217"/>
      <c r="AQ131" s="212"/>
      <c r="AR131" s="212"/>
      <c r="AS131" s="212"/>
      <c r="AT131" s="212"/>
      <c r="AU131" s="212"/>
      <c r="AV131" s="212"/>
      <c r="AW131" s="212"/>
      <c r="AX131" s="212"/>
      <c r="AY131" s="212"/>
      <c r="AZ131" s="212"/>
      <c r="BA131" s="212"/>
      <c r="BB131" s="212"/>
      <c r="BC131" s="212"/>
      <c r="BD131" s="212"/>
      <c r="BE131" s="212"/>
      <c r="BF131" s="216"/>
      <c r="BG131" s="212"/>
    </row>
    <row r="132" spans="1:59" ht="15.75" customHeight="1" x14ac:dyDescent="0.25">
      <c r="A132" s="212"/>
      <c r="B132" s="212"/>
      <c r="C132" s="212"/>
      <c r="D132" s="212"/>
      <c r="E132" s="216"/>
      <c r="F132" s="216"/>
      <c r="G132" s="269"/>
      <c r="H132" s="216"/>
      <c r="I132" s="218"/>
      <c r="J132" s="212"/>
      <c r="K132" s="212"/>
      <c r="L132" s="212"/>
      <c r="M132" s="212"/>
      <c r="N132" s="212"/>
      <c r="O132" s="217"/>
      <c r="P132" s="217"/>
      <c r="Q132" s="212"/>
      <c r="R132" s="212"/>
      <c r="S132" s="217"/>
      <c r="T132" s="217"/>
      <c r="U132" s="212"/>
      <c r="V132" s="212"/>
      <c r="W132" s="212"/>
      <c r="X132" s="212"/>
      <c r="Y132" s="212"/>
      <c r="Z132" s="212"/>
      <c r="AA132" s="219"/>
      <c r="AB132" s="216"/>
      <c r="AC132" s="216"/>
      <c r="AD132" s="216"/>
      <c r="AE132" s="216"/>
      <c r="AF132" s="212"/>
      <c r="AG132" s="212"/>
      <c r="AH132" s="212"/>
      <c r="AI132" s="216"/>
      <c r="AJ132" s="216"/>
      <c r="AK132" s="216"/>
      <c r="AL132" s="216"/>
      <c r="AM132" s="216"/>
      <c r="AN132" s="216"/>
      <c r="AO132" s="216"/>
      <c r="AP132" s="217"/>
      <c r="AQ132" s="212"/>
      <c r="AR132" s="212"/>
      <c r="AS132" s="212"/>
      <c r="AT132" s="212"/>
      <c r="AU132" s="212"/>
      <c r="AV132" s="212"/>
      <c r="AW132" s="212"/>
      <c r="AX132" s="212"/>
      <c r="AY132" s="212"/>
      <c r="AZ132" s="212"/>
      <c r="BA132" s="212"/>
      <c r="BB132" s="212"/>
      <c r="BC132" s="212"/>
      <c r="BD132" s="212"/>
      <c r="BE132" s="212"/>
      <c r="BF132" s="216"/>
      <c r="BG132" s="212"/>
    </row>
    <row r="133" spans="1:59" ht="15.75" customHeight="1" x14ac:dyDescent="0.25">
      <c r="A133" s="212"/>
      <c r="B133" s="212"/>
      <c r="C133" s="212"/>
      <c r="D133" s="212"/>
      <c r="E133" s="216"/>
      <c r="F133" s="216"/>
      <c r="G133" s="269"/>
      <c r="H133" s="216"/>
      <c r="I133" s="218"/>
      <c r="J133" s="212"/>
      <c r="K133" s="212"/>
      <c r="L133" s="212"/>
      <c r="M133" s="212"/>
      <c r="N133" s="212"/>
      <c r="O133" s="217"/>
      <c r="P133" s="217"/>
      <c r="Q133" s="212"/>
      <c r="R133" s="212"/>
      <c r="S133" s="217"/>
      <c r="T133" s="217"/>
      <c r="U133" s="212"/>
      <c r="V133" s="212"/>
      <c r="W133" s="212"/>
      <c r="X133" s="212"/>
      <c r="Y133" s="212"/>
      <c r="Z133" s="212"/>
      <c r="AA133" s="219"/>
      <c r="AB133" s="216"/>
      <c r="AC133" s="216"/>
      <c r="AD133" s="216"/>
      <c r="AE133" s="216"/>
      <c r="AF133" s="212"/>
      <c r="AG133" s="212"/>
      <c r="AH133" s="212"/>
      <c r="AI133" s="216"/>
      <c r="AJ133" s="216"/>
      <c r="AK133" s="216"/>
      <c r="AL133" s="216"/>
      <c r="AM133" s="216"/>
      <c r="AN133" s="216"/>
      <c r="AO133" s="216"/>
      <c r="AP133" s="217"/>
      <c r="AQ133" s="212"/>
      <c r="AR133" s="212"/>
      <c r="AS133" s="212"/>
      <c r="AT133" s="212"/>
      <c r="AU133" s="212"/>
      <c r="AV133" s="212"/>
      <c r="AW133" s="212"/>
      <c r="AX133" s="212"/>
      <c r="AY133" s="212"/>
      <c r="AZ133" s="212"/>
      <c r="BA133" s="212"/>
      <c r="BB133" s="212"/>
      <c r="BC133" s="212"/>
      <c r="BD133" s="212"/>
      <c r="BE133" s="212"/>
      <c r="BF133" s="216"/>
      <c r="BG133" s="212"/>
    </row>
    <row r="134" spans="1:59" ht="15.75" customHeight="1" x14ac:dyDescent="0.25">
      <c r="A134" s="212"/>
      <c r="B134" s="212"/>
      <c r="C134" s="212"/>
      <c r="D134" s="212"/>
      <c r="E134" s="216"/>
      <c r="F134" s="216"/>
      <c r="G134" s="269"/>
      <c r="H134" s="216"/>
      <c r="I134" s="218"/>
      <c r="J134" s="212"/>
      <c r="K134" s="212"/>
      <c r="L134" s="212"/>
      <c r="M134" s="212"/>
      <c r="N134" s="212"/>
      <c r="O134" s="217"/>
      <c r="P134" s="217"/>
      <c r="Q134" s="212"/>
      <c r="R134" s="212"/>
      <c r="S134" s="217"/>
      <c r="T134" s="217"/>
      <c r="U134" s="212"/>
      <c r="V134" s="212"/>
      <c r="W134" s="212"/>
      <c r="X134" s="212"/>
      <c r="Y134" s="212"/>
      <c r="Z134" s="212"/>
      <c r="AA134" s="219"/>
      <c r="AB134" s="216"/>
      <c r="AC134" s="216"/>
      <c r="AD134" s="216"/>
      <c r="AE134" s="216"/>
      <c r="AF134" s="212"/>
      <c r="AG134" s="212"/>
      <c r="AH134" s="212"/>
      <c r="AI134" s="216"/>
      <c r="AJ134" s="216"/>
      <c r="AK134" s="216"/>
      <c r="AL134" s="216"/>
      <c r="AM134" s="216"/>
      <c r="AN134" s="216"/>
      <c r="AO134" s="216"/>
      <c r="AP134" s="217"/>
      <c r="AQ134" s="212"/>
      <c r="AR134" s="212"/>
      <c r="AS134" s="212"/>
      <c r="AT134" s="212"/>
      <c r="AU134" s="212"/>
      <c r="AV134" s="212"/>
      <c r="AW134" s="212"/>
      <c r="AX134" s="212"/>
      <c r="AY134" s="212"/>
      <c r="AZ134" s="212"/>
      <c r="BA134" s="212"/>
      <c r="BB134" s="212"/>
      <c r="BC134" s="212"/>
      <c r="BD134" s="212"/>
      <c r="BE134" s="212"/>
      <c r="BF134" s="216"/>
      <c r="BG134" s="212"/>
    </row>
    <row r="135" spans="1:59" ht="15.75" customHeight="1" x14ac:dyDescent="0.25">
      <c r="A135" s="212"/>
      <c r="B135" s="212"/>
      <c r="C135" s="212"/>
      <c r="D135" s="212"/>
      <c r="E135" s="216"/>
      <c r="F135" s="216"/>
      <c r="G135" s="269"/>
      <c r="H135" s="216"/>
      <c r="I135" s="218"/>
      <c r="J135" s="212"/>
      <c r="K135" s="212"/>
      <c r="L135" s="212"/>
      <c r="M135" s="212"/>
      <c r="N135" s="212"/>
      <c r="O135" s="217"/>
      <c r="P135" s="217"/>
      <c r="Q135" s="212"/>
      <c r="R135" s="212"/>
      <c r="S135" s="217"/>
      <c r="T135" s="217"/>
      <c r="U135" s="212"/>
      <c r="V135" s="212"/>
      <c r="W135" s="212"/>
      <c r="X135" s="212"/>
      <c r="Y135" s="212"/>
      <c r="Z135" s="212"/>
      <c r="AA135" s="219"/>
      <c r="AB135" s="216"/>
      <c r="AC135" s="216"/>
      <c r="AD135" s="216"/>
      <c r="AE135" s="216"/>
      <c r="AF135" s="212"/>
      <c r="AG135" s="212"/>
      <c r="AH135" s="212"/>
      <c r="AI135" s="216"/>
      <c r="AJ135" s="216"/>
      <c r="AK135" s="216"/>
      <c r="AL135" s="216"/>
      <c r="AM135" s="216"/>
      <c r="AN135" s="216"/>
      <c r="AO135" s="216"/>
      <c r="AP135" s="217"/>
      <c r="AQ135" s="212"/>
      <c r="AR135" s="212"/>
      <c r="AS135" s="212"/>
      <c r="AT135" s="212"/>
      <c r="AU135" s="212"/>
      <c r="AV135" s="212"/>
      <c r="AW135" s="212"/>
      <c r="AX135" s="212"/>
      <c r="AY135" s="212"/>
      <c r="AZ135" s="212"/>
      <c r="BA135" s="212"/>
      <c r="BB135" s="212"/>
      <c r="BC135" s="212"/>
      <c r="BD135" s="212"/>
      <c r="BE135" s="212"/>
      <c r="BF135" s="216"/>
      <c r="BG135" s="212"/>
    </row>
    <row r="136" spans="1:59" ht="15.75" customHeight="1" x14ac:dyDescent="0.25">
      <c r="A136" s="212"/>
      <c r="B136" s="212"/>
      <c r="C136" s="212"/>
      <c r="D136" s="212"/>
      <c r="E136" s="216"/>
      <c r="F136" s="216"/>
      <c r="G136" s="269"/>
      <c r="H136" s="216"/>
      <c r="I136" s="218"/>
      <c r="J136" s="212"/>
      <c r="K136" s="212"/>
      <c r="L136" s="212"/>
      <c r="M136" s="212"/>
      <c r="N136" s="212"/>
      <c r="O136" s="217"/>
      <c r="P136" s="217"/>
      <c r="Q136" s="212"/>
      <c r="R136" s="212"/>
      <c r="S136" s="217"/>
      <c r="T136" s="217"/>
      <c r="U136" s="212"/>
      <c r="V136" s="212"/>
      <c r="W136" s="212"/>
      <c r="X136" s="212"/>
      <c r="Y136" s="212"/>
      <c r="Z136" s="212"/>
      <c r="AA136" s="219"/>
      <c r="AB136" s="216"/>
      <c r="AC136" s="216"/>
      <c r="AD136" s="216"/>
      <c r="AE136" s="216"/>
      <c r="AF136" s="212"/>
      <c r="AG136" s="212"/>
      <c r="AH136" s="212"/>
      <c r="AI136" s="216"/>
      <c r="AJ136" s="216"/>
      <c r="AK136" s="216"/>
      <c r="AL136" s="216"/>
      <c r="AM136" s="216"/>
      <c r="AN136" s="216"/>
      <c r="AO136" s="216"/>
      <c r="AP136" s="217"/>
      <c r="AQ136" s="212"/>
      <c r="AR136" s="212"/>
      <c r="AS136" s="212"/>
      <c r="AT136" s="212"/>
      <c r="AU136" s="212"/>
      <c r="AV136" s="212"/>
      <c r="AW136" s="212"/>
      <c r="AX136" s="212"/>
      <c r="AY136" s="212"/>
      <c r="AZ136" s="212"/>
      <c r="BA136" s="212"/>
      <c r="BB136" s="212"/>
      <c r="BC136" s="212"/>
      <c r="BD136" s="212"/>
      <c r="BE136" s="212"/>
      <c r="BF136" s="216"/>
      <c r="BG136" s="212"/>
    </row>
    <row r="137" spans="1:59" ht="15.75" customHeight="1" x14ac:dyDescent="0.25">
      <c r="A137" s="212"/>
      <c r="B137" s="212"/>
      <c r="C137" s="212"/>
      <c r="D137" s="212"/>
      <c r="E137" s="216"/>
      <c r="F137" s="216"/>
      <c r="G137" s="269"/>
      <c r="H137" s="216"/>
      <c r="I137" s="218"/>
      <c r="J137" s="212"/>
      <c r="K137" s="212"/>
      <c r="L137" s="212"/>
      <c r="M137" s="212"/>
      <c r="N137" s="212"/>
      <c r="O137" s="217"/>
      <c r="P137" s="217"/>
      <c r="Q137" s="212"/>
      <c r="R137" s="212"/>
      <c r="S137" s="217"/>
      <c r="T137" s="217"/>
      <c r="U137" s="212"/>
      <c r="V137" s="212"/>
      <c r="W137" s="212"/>
      <c r="X137" s="212"/>
      <c r="Y137" s="212"/>
      <c r="Z137" s="212"/>
      <c r="AA137" s="219"/>
      <c r="AB137" s="216"/>
      <c r="AC137" s="216"/>
      <c r="AD137" s="216"/>
      <c r="AE137" s="216"/>
      <c r="AF137" s="212"/>
      <c r="AG137" s="212"/>
      <c r="AH137" s="212"/>
      <c r="AI137" s="216"/>
      <c r="AJ137" s="216"/>
      <c r="AK137" s="216"/>
      <c r="AL137" s="216"/>
      <c r="AM137" s="216"/>
      <c r="AN137" s="216"/>
      <c r="AO137" s="216"/>
      <c r="AP137" s="217"/>
      <c r="AQ137" s="212"/>
      <c r="AR137" s="212"/>
      <c r="AS137" s="212"/>
      <c r="AT137" s="212"/>
      <c r="AU137" s="212"/>
      <c r="AV137" s="212"/>
      <c r="AW137" s="212"/>
      <c r="AX137" s="212"/>
      <c r="AY137" s="212"/>
      <c r="AZ137" s="212"/>
      <c r="BA137" s="212"/>
      <c r="BB137" s="212"/>
      <c r="BC137" s="212"/>
      <c r="BD137" s="212"/>
      <c r="BE137" s="212"/>
      <c r="BF137" s="216"/>
      <c r="BG137" s="212"/>
    </row>
    <row r="138" spans="1:59" ht="15.75" customHeight="1" x14ac:dyDescent="0.25">
      <c r="A138" s="212"/>
      <c r="B138" s="212"/>
      <c r="C138" s="212"/>
      <c r="D138" s="212"/>
      <c r="E138" s="216"/>
      <c r="F138" s="216"/>
      <c r="G138" s="269"/>
      <c r="H138" s="216"/>
      <c r="I138" s="218"/>
      <c r="J138" s="212"/>
      <c r="K138" s="212"/>
      <c r="L138" s="212"/>
      <c r="M138" s="212"/>
      <c r="N138" s="212"/>
      <c r="O138" s="217"/>
      <c r="P138" s="217"/>
      <c r="Q138" s="212"/>
      <c r="R138" s="212"/>
      <c r="S138" s="217"/>
      <c r="T138" s="217"/>
      <c r="U138" s="212"/>
      <c r="V138" s="212"/>
      <c r="W138" s="212"/>
      <c r="X138" s="212"/>
      <c r="Y138" s="212"/>
      <c r="Z138" s="212"/>
      <c r="AA138" s="219"/>
      <c r="AB138" s="216"/>
      <c r="AC138" s="216"/>
      <c r="AD138" s="216"/>
      <c r="AE138" s="216"/>
      <c r="AF138" s="212"/>
      <c r="AG138" s="212"/>
      <c r="AH138" s="212"/>
      <c r="AI138" s="216"/>
      <c r="AJ138" s="216"/>
      <c r="AK138" s="216"/>
      <c r="AL138" s="216"/>
      <c r="AM138" s="216"/>
      <c r="AN138" s="216"/>
      <c r="AO138" s="216"/>
      <c r="AP138" s="217"/>
      <c r="AQ138" s="212"/>
      <c r="AR138" s="212"/>
      <c r="AS138" s="212"/>
      <c r="AT138" s="212"/>
      <c r="AU138" s="212"/>
      <c r="AV138" s="212"/>
      <c r="AW138" s="212"/>
      <c r="AX138" s="212"/>
      <c r="AY138" s="212"/>
      <c r="AZ138" s="212"/>
      <c r="BA138" s="212"/>
      <c r="BB138" s="212"/>
      <c r="BC138" s="212"/>
      <c r="BD138" s="212"/>
      <c r="BE138" s="212"/>
      <c r="BF138" s="216"/>
      <c r="BG138" s="212"/>
    </row>
    <row r="139" spans="1:59" ht="15.75" customHeight="1" x14ac:dyDescent="0.25">
      <c r="A139" s="212"/>
      <c r="B139" s="212"/>
      <c r="C139" s="212"/>
      <c r="D139" s="212"/>
      <c r="E139" s="216"/>
      <c r="F139" s="216"/>
      <c r="G139" s="269"/>
      <c r="H139" s="216"/>
      <c r="I139" s="218"/>
      <c r="J139" s="212"/>
      <c r="K139" s="212"/>
      <c r="L139" s="212"/>
      <c r="M139" s="212"/>
      <c r="N139" s="212"/>
      <c r="O139" s="217"/>
      <c r="P139" s="217"/>
      <c r="Q139" s="212"/>
      <c r="R139" s="212"/>
      <c r="S139" s="217"/>
      <c r="T139" s="217"/>
      <c r="U139" s="212"/>
      <c r="V139" s="212"/>
      <c r="W139" s="212"/>
      <c r="X139" s="212"/>
      <c r="Y139" s="212"/>
      <c r="Z139" s="212"/>
      <c r="AA139" s="219"/>
      <c r="AB139" s="216"/>
      <c r="AC139" s="216"/>
      <c r="AD139" s="216"/>
      <c r="AE139" s="216"/>
      <c r="AF139" s="212"/>
      <c r="AG139" s="212"/>
      <c r="AH139" s="212"/>
      <c r="AI139" s="216"/>
      <c r="AJ139" s="216"/>
      <c r="AK139" s="216"/>
      <c r="AL139" s="216"/>
      <c r="AM139" s="216"/>
      <c r="AN139" s="216"/>
      <c r="AO139" s="216"/>
      <c r="AP139" s="217"/>
      <c r="AQ139" s="212"/>
      <c r="AR139" s="212"/>
      <c r="AS139" s="212"/>
      <c r="AT139" s="212"/>
      <c r="AU139" s="212"/>
      <c r="AV139" s="212"/>
      <c r="AW139" s="212"/>
      <c r="AX139" s="212"/>
      <c r="AY139" s="212"/>
      <c r="AZ139" s="212"/>
      <c r="BA139" s="212"/>
      <c r="BB139" s="212"/>
      <c r="BC139" s="212"/>
      <c r="BD139" s="212"/>
      <c r="BE139" s="212"/>
      <c r="BF139" s="216"/>
      <c r="BG139" s="212"/>
    </row>
    <row r="140" spans="1:59" ht="15.75" customHeight="1" x14ac:dyDescent="0.25">
      <c r="A140" s="212"/>
      <c r="B140" s="212"/>
      <c r="C140" s="212"/>
      <c r="D140" s="212"/>
      <c r="E140" s="216"/>
      <c r="F140" s="216"/>
      <c r="G140" s="269"/>
      <c r="H140" s="216"/>
      <c r="I140" s="218"/>
      <c r="J140" s="212"/>
      <c r="K140" s="212"/>
      <c r="L140" s="212"/>
      <c r="M140" s="212"/>
      <c r="N140" s="212"/>
      <c r="O140" s="217"/>
      <c r="P140" s="217"/>
      <c r="Q140" s="212"/>
      <c r="R140" s="212"/>
      <c r="S140" s="217"/>
      <c r="T140" s="217"/>
      <c r="U140" s="212"/>
      <c r="V140" s="212"/>
      <c r="W140" s="212"/>
      <c r="X140" s="212"/>
      <c r="Y140" s="212"/>
      <c r="Z140" s="212"/>
      <c r="AA140" s="219"/>
      <c r="AB140" s="216"/>
      <c r="AC140" s="216"/>
      <c r="AD140" s="216"/>
      <c r="AE140" s="216"/>
      <c r="AF140" s="212"/>
      <c r="AG140" s="212"/>
      <c r="AH140" s="212"/>
      <c r="AI140" s="216"/>
      <c r="AJ140" s="216"/>
      <c r="AK140" s="216"/>
      <c r="AL140" s="216"/>
      <c r="AM140" s="216"/>
      <c r="AN140" s="216"/>
      <c r="AO140" s="216"/>
      <c r="AP140" s="217"/>
      <c r="AQ140" s="212"/>
      <c r="AR140" s="212"/>
      <c r="AS140" s="212"/>
      <c r="AT140" s="212"/>
      <c r="AU140" s="212"/>
      <c r="AV140" s="212"/>
      <c r="AW140" s="212"/>
      <c r="AX140" s="212"/>
      <c r="AY140" s="212"/>
      <c r="AZ140" s="212"/>
      <c r="BA140" s="212"/>
      <c r="BB140" s="212"/>
      <c r="BC140" s="212"/>
      <c r="BD140" s="212"/>
      <c r="BE140" s="212"/>
      <c r="BF140" s="216"/>
      <c r="BG140" s="212"/>
    </row>
    <row r="141" spans="1:59" ht="15.75" customHeight="1" x14ac:dyDescent="0.25">
      <c r="A141" s="212"/>
      <c r="B141" s="212"/>
      <c r="C141" s="212"/>
      <c r="D141" s="212"/>
      <c r="E141" s="216"/>
      <c r="F141" s="216"/>
      <c r="G141" s="269"/>
      <c r="H141" s="216"/>
      <c r="I141" s="218"/>
      <c r="J141" s="212"/>
      <c r="K141" s="212"/>
      <c r="L141" s="212"/>
      <c r="M141" s="212"/>
      <c r="N141" s="212"/>
      <c r="O141" s="217"/>
      <c r="P141" s="217"/>
      <c r="Q141" s="212"/>
      <c r="R141" s="212"/>
      <c r="S141" s="217"/>
      <c r="T141" s="217"/>
      <c r="U141" s="212"/>
      <c r="V141" s="212"/>
      <c r="W141" s="212"/>
      <c r="X141" s="212"/>
      <c r="Y141" s="212"/>
      <c r="Z141" s="212"/>
      <c r="AA141" s="219"/>
      <c r="AB141" s="216"/>
      <c r="AC141" s="216"/>
      <c r="AD141" s="216"/>
      <c r="AE141" s="216"/>
      <c r="AF141" s="212"/>
      <c r="AG141" s="212"/>
      <c r="AH141" s="212"/>
      <c r="AI141" s="216"/>
      <c r="AJ141" s="216"/>
      <c r="AK141" s="216"/>
      <c r="AL141" s="216"/>
      <c r="AM141" s="216"/>
      <c r="AN141" s="216"/>
      <c r="AO141" s="216"/>
      <c r="AP141" s="217"/>
      <c r="AQ141" s="212"/>
      <c r="AR141" s="212"/>
      <c r="AS141" s="212"/>
      <c r="AT141" s="212"/>
      <c r="AU141" s="212"/>
      <c r="AV141" s="212"/>
      <c r="AW141" s="212"/>
      <c r="AX141" s="212"/>
      <c r="AY141" s="212"/>
      <c r="AZ141" s="212"/>
      <c r="BA141" s="212"/>
      <c r="BB141" s="212"/>
      <c r="BC141" s="212"/>
      <c r="BD141" s="212"/>
      <c r="BE141" s="212"/>
      <c r="BF141" s="216"/>
      <c r="BG141" s="212"/>
    </row>
    <row r="142" spans="1:59" ht="15.75" customHeight="1" x14ac:dyDescent="0.25">
      <c r="A142" s="212"/>
      <c r="B142" s="212"/>
      <c r="C142" s="212"/>
      <c r="D142" s="212"/>
      <c r="E142" s="216"/>
      <c r="F142" s="216"/>
      <c r="G142" s="269"/>
      <c r="H142" s="216"/>
      <c r="I142" s="218"/>
      <c r="J142" s="212"/>
      <c r="K142" s="212"/>
      <c r="L142" s="212"/>
      <c r="M142" s="212"/>
      <c r="N142" s="212"/>
      <c r="O142" s="217"/>
      <c r="P142" s="217"/>
      <c r="Q142" s="212"/>
      <c r="R142" s="212"/>
      <c r="S142" s="217"/>
      <c r="T142" s="217"/>
      <c r="U142" s="212"/>
      <c r="V142" s="212"/>
      <c r="W142" s="212"/>
      <c r="X142" s="212"/>
      <c r="Y142" s="212"/>
      <c r="Z142" s="212"/>
      <c r="AA142" s="219"/>
      <c r="AB142" s="216"/>
      <c r="AC142" s="216"/>
      <c r="AD142" s="216"/>
      <c r="AE142" s="216"/>
      <c r="AF142" s="212"/>
      <c r="AG142" s="212"/>
      <c r="AH142" s="212"/>
      <c r="AI142" s="216"/>
      <c r="AJ142" s="216"/>
      <c r="AK142" s="216"/>
      <c r="AL142" s="216"/>
      <c r="AM142" s="216"/>
      <c r="AN142" s="216"/>
      <c r="AO142" s="216"/>
      <c r="AP142" s="217"/>
      <c r="AQ142" s="212"/>
      <c r="AR142" s="212"/>
      <c r="AS142" s="212"/>
      <c r="AT142" s="212"/>
      <c r="AU142" s="212"/>
      <c r="AV142" s="212"/>
      <c r="AW142" s="212"/>
      <c r="AX142" s="212"/>
      <c r="AY142" s="212"/>
      <c r="AZ142" s="212"/>
      <c r="BA142" s="212"/>
      <c r="BB142" s="212"/>
      <c r="BC142" s="212"/>
      <c r="BD142" s="212"/>
      <c r="BE142" s="212"/>
      <c r="BF142" s="216"/>
      <c r="BG142" s="212"/>
    </row>
    <row r="143" spans="1:59" ht="15.75" customHeight="1" x14ac:dyDescent="0.25">
      <c r="A143" s="212"/>
      <c r="B143" s="212"/>
      <c r="C143" s="212"/>
      <c r="D143" s="212"/>
      <c r="E143" s="216"/>
      <c r="F143" s="216"/>
      <c r="G143" s="269"/>
      <c r="H143" s="216"/>
      <c r="I143" s="218"/>
      <c r="J143" s="212"/>
      <c r="K143" s="212"/>
      <c r="L143" s="212"/>
      <c r="M143" s="212"/>
      <c r="N143" s="212"/>
      <c r="O143" s="217"/>
      <c r="P143" s="217"/>
      <c r="Q143" s="212"/>
      <c r="R143" s="212"/>
      <c r="S143" s="217"/>
      <c r="T143" s="217"/>
      <c r="U143" s="212"/>
      <c r="V143" s="212"/>
      <c r="W143" s="212"/>
      <c r="X143" s="212"/>
      <c r="Y143" s="212"/>
      <c r="Z143" s="212"/>
      <c r="AA143" s="219"/>
      <c r="AB143" s="216"/>
      <c r="AC143" s="216"/>
      <c r="AD143" s="216"/>
      <c r="AE143" s="216"/>
      <c r="AF143" s="212"/>
      <c r="AG143" s="212"/>
      <c r="AH143" s="212"/>
      <c r="AI143" s="216"/>
      <c r="AJ143" s="216"/>
      <c r="AK143" s="216"/>
      <c r="AL143" s="216"/>
      <c r="AM143" s="216"/>
      <c r="AN143" s="216"/>
      <c r="AO143" s="216"/>
      <c r="AP143" s="217"/>
      <c r="AQ143" s="212"/>
      <c r="AR143" s="212"/>
      <c r="AS143" s="212"/>
      <c r="AT143" s="212"/>
      <c r="AU143" s="212"/>
      <c r="AV143" s="212"/>
      <c r="AW143" s="212"/>
      <c r="AX143" s="212"/>
      <c r="AY143" s="212"/>
      <c r="AZ143" s="212"/>
      <c r="BA143" s="212"/>
      <c r="BB143" s="212"/>
      <c r="BC143" s="212"/>
      <c r="BD143" s="212"/>
      <c r="BE143" s="212"/>
      <c r="BF143" s="216"/>
      <c r="BG143" s="212"/>
    </row>
    <row r="144" spans="1:59" ht="15.75" customHeight="1" x14ac:dyDescent="0.25">
      <c r="A144" s="212"/>
      <c r="B144" s="212"/>
      <c r="C144" s="212"/>
      <c r="D144" s="212"/>
      <c r="E144" s="216"/>
      <c r="F144" s="216"/>
      <c r="G144" s="269"/>
      <c r="H144" s="216"/>
      <c r="I144" s="218"/>
      <c r="J144" s="212"/>
      <c r="K144" s="212"/>
      <c r="L144" s="212"/>
      <c r="M144" s="212"/>
      <c r="N144" s="212"/>
      <c r="O144" s="217"/>
      <c r="P144" s="217"/>
      <c r="Q144" s="212"/>
      <c r="R144" s="212"/>
      <c r="S144" s="217"/>
      <c r="T144" s="217"/>
      <c r="U144" s="212"/>
      <c r="V144" s="212"/>
      <c r="W144" s="212"/>
      <c r="X144" s="212"/>
      <c r="Y144" s="212"/>
      <c r="Z144" s="212"/>
      <c r="AA144" s="219"/>
      <c r="AB144" s="216"/>
      <c r="AC144" s="216"/>
      <c r="AD144" s="216"/>
      <c r="AE144" s="216"/>
      <c r="AF144" s="212"/>
      <c r="AG144" s="212"/>
      <c r="AH144" s="212"/>
      <c r="AI144" s="216"/>
      <c r="AJ144" s="216"/>
      <c r="AK144" s="216"/>
      <c r="AL144" s="216"/>
      <c r="AM144" s="216"/>
      <c r="AN144" s="216"/>
      <c r="AO144" s="216"/>
      <c r="AP144" s="217"/>
      <c r="AQ144" s="212"/>
      <c r="AR144" s="212"/>
      <c r="AS144" s="212"/>
      <c r="AT144" s="212"/>
      <c r="AU144" s="212"/>
      <c r="AV144" s="212"/>
      <c r="AW144" s="212"/>
      <c r="AX144" s="212"/>
      <c r="AY144" s="212"/>
      <c r="AZ144" s="212"/>
      <c r="BA144" s="212"/>
      <c r="BB144" s="212"/>
      <c r="BC144" s="212"/>
      <c r="BD144" s="212"/>
      <c r="BE144" s="212"/>
      <c r="BF144" s="216"/>
      <c r="BG144" s="212"/>
    </row>
    <row r="145" spans="1:59" ht="15.75" customHeight="1" x14ac:dyDescent="0.25">
      <c r="A145" s="212"/>
      <c r="B145" s="212"/>
      <c r="C145" s="212"/>
      <c r="D145" s="212"/>
      <c r="E145" s="216"/>
      <c r="F145" s="216"/>
      <c r="G145" s="269"/>
      <c r="H145" s="216"/>
      <c r="I145" s="218"/>
      <c r="J145" s="212"/>
      <c r="K145" s="212"/>
      <c r="L145" s="212"/>
      <c r="M145" s="212"/>
      <c r="N145" s="212"/>
      <c r="O145" s="217"/>
      <c r="P145" s="217"/>
      <c r="Q145" s="212"/>
      <c r="R145" s="212"/>
      <c r="S145" s="217"/>
      <c r="T145" s="217"/>
      <c r="U145" s="212"/>
      <c r="V145" s="212"/>
      <c r="W145" s="212"/>
      <c r="X145" s="212"/>
      <c r="Y145" s="212"/>
      <c r="Z145" s="212"/>
      <c r="AA145" s="219"/>
      <c r="AB145" s="216"/>
      <c r="AC145" s="216"/>
      <c r="AD145" s="216"/>
      <c r="AE145" s="216"/>
      <c r="AF145" s="212"/>
      <c r="AG145" s="212"/>
      <c r="AH145" s="212"/>
      <c r="AI145" s="216"/>
      <c r="AJ145" s="216"/>
      <c r="AK145" s="216"/>
      <c r="AL145" s="216"/>
      <c r="AM145" s="216"/>
      <c r="AN145" s="216"/>
      <c r="AO145" s="216"/>
      <c r="AP145" s="217"/>
      <c r="AQ145" s="212"/>
      <c r="AR145" s="212"/>
      <c r="AS145" s="212"/>
      <c r="AT145" s="212"/>
      <c r="AU145" s="212"/>
      <c r="AV145" s="212"/>
      <c r="AW145" s="212"/>
      <c r="AX145" s="212"/>
      <c r="AY145" s="212"/>
      <c r="AZ145" s="212"/>
      <c r="BA145" s="212"/>
      <c r="BB145" s="212"/>
      <c r="BC145" s="212"/>
      <c r="BD145" s="212"/>
      <c r="BE145" s="212"/>
      <c r="BF145" s="216"/>
      <c r="BG145" s="212"/>
    </row>
    <row r="146" spans="1:59" ht="15.75" customHeight="1" x14ac:dyDescent="0.25">
      <c r="A146" s="212"/>
      <c r="B146" s="212"/>
      <c r="C146" s="212"/>
      <c r="D146" s="212"/>
      <c r="E146" s="216"/>
      <c r="F146" s="216"/>
      <c r="G146" s="269"/>
      <c r="H146" s="216"/>
      <c r="I146" s="218"/>
      <c r="J146" s="212"/>
      <c r="K146" s="212"/>
      <c r="L146" s="212"/>
      <c r="M146" s="212"/>
      <c r="N146" s="212"/>
      <c r="O146" s="217"/>
      <c r="P146" s="217"/>
      <c r="Q146" s="212"/>
      <c r="R146" s="212"/>
      <c r="S146" s="217"/>
      <c r="T146" s="217"/>
      <c r="U146" s="212"/>
      <c r="V146" s="212"/>
      <c r="W146" s="212"/>
      <c r="X146" s="212"/>
      <c r="Y146" s="212"/>
      <c r="Z146" s="212"/>
      <c r="AA146" s="219"/>
      <c r="AB146" s="216"/>
      <c r="AC146" s="216"/>
      <c r="AD146" s="216"/>
      <c r="AE146" s="216"/>
      <c r="AF146" s="212"/>
      <c r="AG146" s="212"/>
      <c r="AH146" s="212"/>
      <c r="AI146" s="216"/>
      <c r="AJ146" s="216"/>
      <c r="AK146" s="216"/>
      <c r="AL146" s="216"/>
      <c r="AM146" s="216"/>
      <c r="AN146" s="216"/>
      <c r="AO146" s="216"/>
      <c r="AP146" s="217"/>
      <c r="AQ146" s="212"/>
      <c r="AR146" s="212"/>
      <c r="AS146" s="212"/>
      <c r="AT146" s="212"/>
      <c r="AU146" s="212"/>
      <c r="AV146" s="212"/>
      <c r="AW146" s="212"/>
      <c r="AX146" s="212"/>
      <c r="AY146" s="212"/>
      <c r="AZ146" s="212"/>
      <c r="BA146" s="212"/>
      <c r="BB146" s="212"/>
      <c r="BC146" s="212"/>
      <c r="BD146" s="212"/>
      <c r="BE146" s="212"/>
      <c r="BF146" s="216"/>
      <c r="BG146" s="212"/>
    </row>
    <row r="147" spans="1:59" ht="15.75" customHeight="1" x14ac:dyDescent="0.25">
      <c r="A147" s="212"/>
      <c r="B147" s="212"/>
      <c r="C147" s="212"/>
      <c r="D147" s="212"/>
      <c r="E147" s="216"/>
      <c r="F147" s="216"/>
      <c r="G147" s="269"/>
      <c r="H147" s="216"/>
      <c r="I147" s="218"/>
      <c r="J147" s="212"/>
      <c r="K147" s="212"/>
      <c r="L147" s="212"/>
      <c r="M147" s="212"/>
      <c r="N147" s="212"/>
      <c r="O147" s="217"/>
      <c r="P147" s="217"/>
      <c r="Q147" s="212"/>
      <c r="R147" s="212"/>
      <c r="S147" s="217"/>
      <c r="T147" s="217"/>
      <c r="U147" s="212"/>
      <c r="V147" s="212"/>
      <c r="W147" s="212"/>
      <c r="X147" s="212"/>
      <c r="Y147" s="212"/>
      <c r="Z147" s="212"/>
      <c r="AA147" s="219"/>
      <c r="AB147" s="216"/>
      <c r="AC147" s="216"/>
      <c r="AD147" s="216"/>
      <c r="AE147" s="216"/>
      <c r="AF147" s="212"/>
      <c r="AG147" s="212"/>
      <c r="AH147" s="212"/>
      <c r="AI147" s="216"/>
      <c r="AJ147" s="216"/>
      <c r="AK147" s="216"/>
      <c r="AL147" s="216"/>
      <c r="AM147" s="216"/>
      <c r="AN147" s="216"/>
      <c r="AO147" s="216"/>
      <c r="AP147" s="217"/>
      <c r="AQ147" s="212"/>
      <c r="AR147" s="212"/>
      <c r="AS147" s="212"/>
      <c r="AT147" s="212"/>
      <c r="AU147" s="212"/>
      <c r="AV147" s="212"/>
      <c r="AW147" s="212"/>
      <c r="AX147" s="212"/>
      <c r="AY147" s="212"/>
      <c r="AZ147" s="212"/>
      <c r="BA147" s="212"/>
      <c r="BB147" s="212"/>
      <c r="BC147" s="212"/>
      <c r="BD147" s="212"/>
      <c r="BE147" s="212"/>
      <c r="BF147" s="216"/>
      <c r="BG147" s="212"/>
    </row>
    <row r="148" spans="1:59" ht="15.75" customHeight="1" x14ac:dyDescent="0.25">
      <c r="A148" s="212"/>
      <c r="B148" s="212"/>
      <c r="C148" s="212"/>
      <c r="D148" s="212"/>
      <c r="E148" s="216"/>
      <c r="F148" s="216"/>
      <c r="G148" s="269"/>
      <c r="H148" s="216"/>
      <c r="I148" s="218"/>
      <c r="J148" s="212"/>
      <c r="K148" s="212"/>
      <c r="L148" s="212"/>
      <c r="M148" s="212"/>
      <c r="N148" s="212"/>
      <c r="O148" s="217"/>
      <c r="P148" s="217"/>
      <c r="Q148" s="212"/>
      <c r="R148" s="212"/>
      <c r="S148" s="217"/>
      <c r="T148" s="217"/>
      <c r="U148" s="212"/>
      <c r="V148" s="212"/>
      <c r="W148" s="212"/>
      <c r="X148" s="212"/>
      <c r="Y148" s="212"/>
      <c r="Z148" s="212"/>
      <c r="AA148" s="219"/>
      <c r="AB148" s="216"/>
      <c r="AC148" s="216"/>
      <c r="AD148" s="216"/>
      <c r="AE148" s="216"/>
      <c r="AF148" s="212"/>
      <c r="AG148" s="212"/>
      <c r="AH148" s="212"/>
      <c r="AI148" s="216"/>
      <c r="AJ148" s="216"/>
      <c r="AK148" s="216"/>
      <c r="AL148" s="216"/>
      <c r="AM148" s="216"/>
      <c r="AN148" s="216"/>
      <c r="AO148" s="216"/>
      <c r="AP148" s="217"/>
      <c r="AQ148" s="212"/>
      <c r="AR148" s="212"/>
      <c r="AS148" s="212"/>
      <c r="AT148" s="212"/>
      <c r="AU148" s="212"/>
      <c r="AV148" s="212"/>
      <c r="AW148" s="212"/>
      <c r="AX148" s="212"/>
      <c r="AY148" s="212"/>
      <c r="AZ148" s="212"/>
      <c r="BA148" s="212"/>
      <c r="BB148" s="212"/>
      <c r="BC148" s="212"/>
      <c r="BD148" s="212"/>
      <c r="BE148" s="212"/>
      <c r="BF148" s="216"/>
      <c r="BG148" s="212"/>
    </row>
    <row r="149" spans="1:59" ht="15.75" customHeight="1" x14ac:dyDescent="0.25">
      <c r="A149" s="212"/>
      <c r="B149" s="212"/>
      <c r="C149" s="212"/>
      <c r="D149" s="212"/>
      <c r="E149" s="216"/>
      <c r="F149" s="216"/>
      <c r="G149" s="269"/>
      <c r="H149" s="216"/>
      <c r="I149" s="218"/>
      <c r="J149" s="212"/>
      <c r="K149" s="212"/>
      <c r="L149" s="212"/>
      <c r="M149" s="212"/>
      <c r="N149" s="212"/>
      <c r="O149" s="217"/>
      <c r="P149" s="217"/>
      <c r="Q149" s="212"/>
      <c r="R149" s="212"/>
      <c r="S149" s="217"/>
      <c r="T149" s="217"/>
      <c r="U149" s="212"/>
      <c r="V149" s="212"/>
      <c r="W149" s="212"/>
      <c r="X149" s="212"/>
      <c r="Y149" s="212"/>
      <c r="Z149" s="212"/>
      <c r="AA149" s="219"/>
      <c r="AB149" s="216"/>
      <c r="AC149" s="216"/>
      <c r="AD149" s="216"/>
      <c r="AE149" s="216"/>
      <c r="AF149" s="212"/>
      <c r="AG149" s="212"/>
      <c r="AH149" s="212"/>
      <c r="AI149" s="216"/>
      <c r="AJ149" s="216"/>
      <c r="AK149" s="216"/>
      <c r="AL149" s="216"/>
      <c r="AM149" s="216"/>
      <c r="AN149" s="216"/>
      <c r="AO149" s="216"/>
      <c r="AP149" s="217"/>
      <c r="AQ149" s="212"/>
      <c r="AR149" s="212"/>
      <c r="AS149" s="212"/>
      <c r="AT149" s="212"/>
      <c r="AU149" s="212"/>
      <c r="AV149" s="212"/>
      <c r="AW149" s="212"/>
      <c r="AX149" s="212"/>
      <c r="AY149" s="212"/>
      <c r="AZ149" s="212"/>
      <c r="BA149" s="212"/>
      <c r="BB149" s="212"/>
      <c r="BC149" s="212"/>
      <c r="BD149" s="212"/>
      <c r="BE149" s="212"/>
      <c r="BF149" s="216"/>
      <c r="BG149" s="212"/>
    </row>
    <row r="150" spans="1:59" ht="15.75" customHeight="1" x14ac:dyDescent="0.25">
      <c r="A150" s="212"/>
      <c r="B150" s="212"/>
      <c r="C150" s="212"/>
      <c r="D150" s="212"/>
      <c r="E150" s="216"/>
      <c r="F150" s="216"/>
      <c r="G150" s="269"/>
      <c r="H150" s="216"/>
      <c r="I150" s="218"/>
      <c r="J150" s="212"/>
      <c r="K150" s="212"/>
      <c r="L150" s="212"/>
      <c r="M150" s="212"/>
      <c r="N150" s="212"/>
      <c r="O150" s="217"/>
      <c r="P150" s="217"/>
      <c r="Q150" s="212"/>
      <c r="R150" s="212"/>
      <c r="S150" s="217"/>
      <c r="T150" s="217"/>
      <c r="U150" s="212"/>
      <c r="V150" s="212"/>
      <c r="W150" s="212"/>
      <c r="X150" s="212"/>
      <c r="Y150" s="212"/>
      <c r="Z150" s="212"/>
      <c r="AA150" s="219"/>
      <c r="AB150" s="216"/>
      <c r="AC150" s="216"/>
      <c r="AD150" s="216"/>
      <c r="AE150" s="216"/>
      <c r="AF150" s="212"/>
      <c r="AG150" s="212"/>
      <c r="AH150" s="212"/>
      <c r="AI150" s="216"/>
      <c r="AJ150" s="216"/>
      <c r="AK150" s="216"/>
      <c r="AL150" s="216"/>
      <c r="AM150" s="216"/>
      <c r="AN150" s="216"/>
      <c r="AO150" s="216"/>
      <c r="AP150" s="217"/>
      <c r="AQ150" s="212"/>
      <c r="AR150" s="212"/>
      <c r="AS150" s="212"/>
      <c r="AT150" s="212"/>
      <c r="AU150" s="212"/>
      <c r="AV150" s="212"/>
      <c r="AW150" s="212"/>
      <c r="AX150" s="212"/>
      <c r="AY150" s="212"/>
      <c r="AZ150" s="212"/>
      <c r="BA150" s="212"/>
      <c r="BB150" s="212"/>
      <c r="BC150" s="212"/>
      <c r="BD150" s="212"/>
      <c r="BE150" s="212"/>
      <c r="BF150" s="216"/>
      <c r="BG150" s="212"/>
    </row>
    <row r="151" spans="1:59" ht="15.75" customHeight="1" x14ac:dyDescent="0.25">
      <c r="A151" s="212"/>
      <c r="B151" s="212"/>
      <c r="C151" s="212"/>
      <c r="D151" s="212"/>
      <c r="E151" s="216"/>
      <c r="F151" s="216"/>
      <c r="G151" s="269"/>
      <c r="H151" s="216"/>
      <c r="I151" s="218"/>
      <c r="J151" s="212"/>
      <c r="K151" s="212"/>
      <c r="L151" s="212"/>
      <c r="M151" s="212"/>
      <c r="N151" s="212"/>
      <c r="O151" s="217"/>
      <c r="P151" s="217"/>
      <c r="Q151" s="212"/>
      <c r="R151" s="212"/>
      <c r="S151" s="217"/>
      <c r="T151" s="217"/>
      <c r="U151" s="212"/>
      <c r="V151" s="212"/>
      <c r="W151" s="212"/>
      <c r="X151" s="212"/>
      <c r="Y151" s="212"/>
      <c r="Z151" s="212"/>
      <c r="AA151" s="219"/>
      <c r="AB151" s="216"/>
      <c r="AC151" s="216"/>
      <c r="AD151" s="216"/>
      <c r="AE151" s="216"/>
      <c r="AF151" s="212"/>
      <c r="AG151" s="212"/>
      <c r="AH151" s="212"/>
      <c r="AI151" s="216"/>
      <c r="AJ151" s="216"/>
      <c r="AK151" s="216"/>
      <c r="AL151" s="216"/>
      <c r="AM151" s="216"/>
      <c r="AN151" s="216"/>
      <c r="AO151" s="216"/>
      <c r="AP151" s="217"/>
      <c r="AQ151" s="212"/>
      <c r="AR151" s="212"/>
      <c r="AS151" s="212"/>
      <c r="AT151" s="212"/>
      <c r="AU151" s="212"/>
      <c r="AV151" s="212"/>
      <c r="AW151" s="212"/>
      <c r="AX151" s="212"/>
      <c r="AY151" s="212"/>
      <c r="AZ151" s="212"/>
      <c r="BA151" s="212"/>
      <c r="BB151" s="212"/>
      <c r="BC151" s="212"/>
      <c r="BD151" s="212"/>
      <c r="BE151" s="212"/>
      <c r="BF151" s="216"/>
      <c r="BG151" s="212"/>
    </row>
    <row r="152" spans="1:59" ht="15.75" customHeight="1" x14ac:dyDescent="0.25">
      <c r="A152" s="212"/>
      <c r="B152" s="212"/>
      <c r="C152" s="212"/>
      <c r="D152" s="212"/>
      <c r="E152" s="216"/>
      <c r="F152" s="216"/>
      <c r="G152" s="269"/>
      <c r="H152" s="216"/>
      <c r="I152" s="218"/>
      <c r="J152" s="212"/>
      <c r="K152" s="212"/>
      <c r="L152" s="212"/>
      <c r="M152" s="212"/>
      <c r="N152" s="212"/>
      <c r="O152" s="217"/>
      <c r="P152" s="217"/>
      <c r="Q152" s="212"/>
      <c r="R152" s="212"/>
      <c r="S152" s="217"/>
      <c r="T152" s="217"/>
      <c r="U152" s="212"/>
      <c r="V152" s="212"/>
      <c r="W152" s="212"/>
      <c r="X152" s="212"/>
      <c r="Y152" s="212"/>
      <c r="Z152" s="212"/>
      <c r="AA152" s="219"/>
      <c r="AB152" s="216"/>
      <c r="AC152" s="216"/>
      <c r="AD152" s="216"/>
      <c r="AE152" s="216"/>
      <c r="AF152" s="212"/>
      <c r="AG152" s="212"/>
      <c r="AH152" s="212"/>
      <c r="AI152" s="216"/>
      <c r="AJ152" s="216"/>
      <c r="AK152" s="216"/>
      <c r="AL152" s="216"/>
      <c r="AM152" s="216"/>
      <c r="AN152" s="216"/>
      <c r="AO152" s="216"/>
      <c r="AP152" s="217"/>
      <c r="AQ152" s="212"/>
      <c r="AR152" s="212"/>
      <c r="AS152" s="212"/>
      <c r="AT152" s="212"/>
      <c r="AU152" s="212"/>
      <c r="AV152" s="212"/>
      <c r="AW152" s="212"/>
      <c r="AX152" s="212"/>
      <c r="AY152" s="212"/>
      <c r="AZ152" s="212"/>
      <c r="BA152" s="212"/>
      <c r="BB152" s="212"/>
      <c r="BC152" s="212"/>
      <c r="BD152" s="212"/>
      <c r="BE152" s="212"/>
      <c r="BF152" s="216"/>
      <c r="BG152" s="212"/>
    </row>
    <row r="153" spans="1:59" ht="15.75" customHeight="1" x14ac:dyDescent="0.25">
      <c r="A153" s="212"/>
      <c r="B153" s="212"/>
      <c r="C153" s="212"/>
      <c r="D153" s="212"/>
      <c r="E153" s="216"/>
      <c r="F153" s="216"/>
      <c r="G153" s="269"/>
      <c r="H153" s="216"/>
      <c r="I153" s="218"/>
      <c r="J153" s="212"/>
      <c r="K153" s="212"/>
      <c r="L153" s="212"/>
      <c r="M153" s="212"/>
      <c r="N153" s="212"/>
      <c r="O153" s="217"/>
      <c r="P153" s="217"/>
      <c r="Q153" s="212"/>
      <c r="R153" s="212"/>
      <c r="S153" s="217"/>
      <c r="T153" s="217"/>
      <c r="U153" s="212"/>
      <c r="V153" s="212"/>
      <c r="W153" s="212"/>
      <c r="X153" s="212"/>
      <c r="Y153" s="212"/>
      <c r="Z153" s="212"/>
      <c r="AA153" s="219"/>
      <c r="AB153" s="216"/>
      <c r="AC153" s="216"/>
      <c r="AD153" s="216"/>
      <c r="AE153" s="216"/>
      <c r="AF153" s="212"/>
      <c r="AG153" s="212"/>
      <c r="AH153" s="212"/>
      <c r="AI153" s="216"/>
      <c r="AJ153" s="216"/>
      <c r="AK153" s="216"/>
      <c r="AL153" s="216"/>
      <c r="AM153" s="216"/>
      <c r="AN153" s="216"/>
      <c r="AO153" s="216"/>
      <c r="AP153" s="217"/>
      <c r="AQ153" s="212"/>
      <c r="AR153" s="212"/>
      <c r="AS153" s="212"/>
      <c r="AT153" s="212"/>
      <c r="AU153" s="212"/>
      <c r="AV153" s="212"/>
      <c r="AW153" s="212"/>
      <c r="AX153" s="212"/>
      <c r="AY153" s="212"/>
      <c r="AZ153" s="212"/>
      <c r="BA153" s="212"/>
      <c r="BB153" s="212"/>
      <c r="BC153" s="212"/>
      <c r="BD153" s="212"/>
      <c r="BE153" s="212"/>
      <c r="BF153" s="216"/>
      <c r="BG153" s="212"/>
    </row>
    <row r="154" spans="1:59" ht="15.75" customHeight="1" x14ac:dyDescent="0.25">
      <c r="A154" s="212"/>
      <c r="B154" s="212"/>
      <c r="C154" s="212"/>
      <c r="D154" s="212"/>
      <c r="E154" s="216"/>
      <c r="F154" s="216"/>
      <c r="G154" s="269"/>
      <c r="H154" s="216"/>
      <c r="I154" s="218"/>
      <c r="J154" s="212"/>
      <c r="K154" s="212"/>
      <c r="L154" s="212"/>
      <c r="M154" s="212"/>
      <c r="N154" s="212"/>
      <c r="O154" s="217"/>
      <c r="P154" s="217"/>
      <c r="Q154" s="212"/>
      <c r="R154" s="212"/>
      <c r="S154" s="217"/>
      <c r="T154" s="217"/>
      <c r="U154" s="212"/>
      <c r="V154" s="212"/>
      <c r="W154" s="212"/>
      <c r="X154" s="212"/>
      <c r="Y154" s="212"/>
      <c r="Z154" s="212"/>
      <c r="AA154" s="219"/>
      <c r="AB154" s="216"/>
      <c r="AC154" s="216"/>
      <c r="AD154" s="216"/>
      <c r="AE154" s="216"/>
      <c r="AF154" s="212"/>
      <c r="AG154" s="212"/>
      <c r="AH154" s="212"/>
      <c r="AI154" s="216"/>
      <c r="AJ154" s="216"/>
      <c r="AK154" s="216"/>
      <c r="AL154" s="216"/>
      <c r="AM154" s="216"/>
      <c r="AN154" s="216"/>
      <c r="AO154" s="216"/>
      <c r="AP154" s="217"/>
      <c r="AQ154" s="212"/>
      <c r="AR154" s="212"/>
      <c r="AS154" s="212"/>
      <c r="AT154" s="212"/>
      <c r="AU154" s="212"/>
      <c r="AV154" s="212"/>
      <c r="AW154" s="212"/>
      <c r="AX154" s="212"/>
      <c r="AY154" s="212"/>
      <c r="AZ154" s="212"/>
      <c r="BA154" s="212"/>
      <c r="BB154" s="212"/>
      <c r="BC154" s="212"/>
      <c r="BD154" s="212"/>
      <c r="BE154" s="212"/>
      <c r="BF154" s="216"/>
      <c r="BG154" s="212"/>
    </row>
    <row r="155" spans="1:59" ht="15.75" customHeight="1" x14ac:dyDescent="0.25">
      <c r="A155" s="212"/>
      <c r="B155" s="212"/>
      <c r="C155" s="212"/>
      <c r="D155" s="212"/>
      <c r="E155" s="216"/>
      <c r="F155" s="216"/>
      <c r="G155" s="269"/>
      <c r="H155" s="216"/>
      <c r="I155" s="218"/>
      <c r="J155" s="212"/>
      <c r="K155" s="212"/>
      <c r="L155" s="212"/>
      <c r="M155" s="212"/>
      <c r="N155" s="212"/>
      <c r="O155" s="217"/>
      <c r="P155" s="217"/>
      <c r="Q155" s="212"/>
      <c r="R155" s="212"/>
      <c r="S155" s="217"/>
      <c r="T155" s="217"/>
      <c r="U155" s="212"/>
      <c r="V155" s="212"/>
      <c r="W155" s="212"/>
      <c r="X155" s="212"/>
      <c r="Y155" s="212"/>
      <c r="Z155" s="212"/>
      <c r="AA155" s="219"/>
      <c r="AB155" s="216"/>
      <c r="AC155" s="216"/>
      <c r="AD155" s="216"/>
      <c r="AE155" s="216"/>
      <c r="AF155" s="212"/>
      <c r="AG155" s="212"/>
      <c r="AH155" s="212"/>
      <c r="AI155" s="216"/>
      <c r="AJ155" s="216"/>
      <c r="AK155" s="216"/>
      <c r="AL155" s="216"/>
      <c r="AM155" s="216"/>
      <c r="AN155" s="216"/>
      <c r="AO155" s="216"/>
      <c r="AP155" s="217"/>
      <c r="AQ155" s="212"/>
      <c r="AR155" s="212"/>
      <c r="AS155" s="212"/>
      <c r="AT155" s="212"/>
      <c r="AU155" s="212"/>
      <c r="AV155" s="212"/>
      <c r="AW155" s="212"/>
      <c r="AX155" s="212"/>
      <c r="AY155" s="212"/>
      <c r="AZ155" s="212"/>
      <c r="BA155" s="212"/>
      <c r="BB155" s="212"/>
      <c r="BC155" s="212"/>
      <c r="BD155" s="212"/>
      <c r="BE155" s="212"/>
      <c r="BF155" s="216"/>
      <c r="BG155" s="212"/>
    </row>
    <row r="156" spans="1:59" ht="15.75" customHeight="1" x14ac:dyDescent="0.25">
      <c r="A156" s="212"/>
      <c r="B156" s="212"/>
      <c r="C156" s="212"/>
      <c r="D156" s="212"/>
      <c r="E156" s="216"/>
      <c r="F156" s="216"/>
      <c r="G156" s="269"/>
      <c r="H156" s="216"/>
      <c r="I156" s="218"/>
      <c r="J156" s="212"/>
      <c r="K156" s="212"/>
      <c r="L156" s="212"/>
      <c r="M156" s="212"/>
      <c r="N156" s="212"/>
      <c r="O156" s="217"/>
      <c r="P156" s="217"/>
      <c r="Q156" s="212"/>
      <c r="R156" s="212"/>
      <c r="S156" s="217"/>
      <c r="T156" s="217"/>
      <c r="U156" s="212"/>
      <c r="V156" s="212"/>
      <c r="W156" s="212"/>
      <c r="X156" s="212"/>
      <c r="Y156" s="212"/>
      <c r="Z156" s="212"/>
      <c r="AA156" s="219"/>
      <c r="AB156" s="216"/>
      <c r="AC156" s="216"/>
      <c r="AD156" s="216"/>
      <c r="AE156" s="216"/>
      <c r="AF156" s="212"/>
      <c r="AG156" s="212"/>
      <c r="AH156" s="212"/>
      <c r="AI156" s="216"/>
      <c r="AJ156" s="216"/>
      <c r="AK156" s="216"/>
      <c r="AL156" s="216"/>
      <c r="AM156" s="216"/>
      <c r="AN156" s="216"/>
      <c r="AO156" s="216"/>
      <c r="AP156" s="217"/>
      <c r="AQ156" s="212"/>
      <c r="AR156" s="212"/>
      <c r="AS156" s="212"/>
      <c r="AT156" s="212"/>
      <c r="AU156" s="212"/>
      <c r="AV156" s="212"/>
      <c r="AW156" s="212"/>
      <c r="AX156" s="212"/>
      <c r="AY156" s="212"/>
      <c r="AZ156" s="212"/>
      <c r="BA156" s="212"/>
      <c r="BB156" s="212"/>
      <c r="BC156" s="212"/>
      <c r="BD156" s="212"/>
      <c r="BE156" s="212"/>
      <c r="BF156" s="216"/>
      <c r="BG156" s="212"/>
    </row>
    <row r="157" spans="1:59" ht="15.75" customHeight="1" x14ac:dyDescent="0.25">
      <c r="A157" s="212"/>
      <c r="B157" s="212"/>
      <c r="C157" s="212"/>
      <c r="D157" s="212"/>
      <c r="E157" s="216"/>
      <c r="F157" s="216"/>
      <c r="G157" s="269"/>
      <c r="H157" s="216"/>
      <c r="I157" s="218"/>
      <c r="J157" s="212"/>
      <c r="K157" s="212"/>
      <c r="L157" s="212"/>
      <c r="M157" s="212"/>
      <c r="N157" s="212"/>
      <c r="O157" s="217"/>
      <c r="P157" s="217"/>
      <c r="Q157" s="212"/>
      <c r="R157" s="212"/>
      <c r="S157" s="217"/>
      <c r="T157" s="217"/>
      <c r="U157" s="212"/>
      <c r="V157" s="212"/>
      <c r="W157" s="212"/>
      <c r="X157" s="212"/>
      <c r="Y157" s="212"/>
      <c r="Z157" s="212"/>
      <c r="AA157" s="219"/>
      <c r="AB157" s="216"/>
      <c r="AC157" s="216"/>
      <c r="AD157" s="216"/>
      <c r="AE157" s="216"/>
      <c r="AF157" s="212"/>
      <c r="AG157" s="212"/>
      <c r="AH157" s="212"/>
      <c r="AI157" s="216"/>
      <c r="AJ157" s="216"/>
      <c r="AK157" s="216"/>
      <c r="AL157" s="216"/>
      <c r="AM157" s="216"/>
      <c r="AN157" s="216"/>
      <c r="AO157" s="216"/>
      <c r="AP157" s="217"/>
      <c r="AQ157" s="212"/>
      <c r="AR157" s="212"/>
      <c r="AS157" s="212"/>
      <c r="AT157" s="212"/>
      <c r="AU157" s="212"/>
      <c r="AV157" s="212"/>
      <c r="AW157" s="212"/>
      <c r="AX157" s="212"/>
      <c r="AY157" s="212"/>
      <c r="AZ157" s="212"/>
      <c r="BA157" s="212"/>
      <c r="BB157" s="212"/>
      <c r="BC157" s="212"/>
      <c r="BD157" s="212"/>
      <c r="BE157" s="212"/>
      <c r="BF157" s="216"/>
      <c r="BG157" s="212"/>
    </row>
    <row r="158" spans="1:59" ht="15.75" customHeight="1" x14ac:dyDescent="0.25">
      <c r="A158" s="212"/>
      <c r="B158" s="212"/>
      <c r="C158" s="212"/>
      <c r="D158" s="212"/>
      <c r="E158" s="216"/>
      <c r="F158" s="216"/>
      <c r="G158" s="269"/>
      <c r="H158" s="216"/>
      <c r="I158" s="218"/>
      <c r="J158" s="212"/>
      <c r="K158" s="212"/>
      <c r="L158" s="212"/>
      <c r="M158" s="212"/>
      <c r="N158" s="212"/>
      <c r="O158" s="217"/>
      <c r="P158" s="217"/>
      <c r="Q158" s="212"/>
      <c r="R158" s="212"/>
      <c r="S158" s="217"/>
      <c r="T158" s="217"/>
      <c r="U158" s="212"/>
      <c r="V158" s="212"/>
      <c r="W158" s="212"/>
      <c r="X158" s="212"/>
      <c r="Y158" s="212"/>
      <c r="Z158" s="212"/>
      <c r="AA158" s="219"/>
      <c r="AB158" s="216"/>
      <c r="AC158" s="216"/>
      <c r="AD158" s="216"/>
      <c r="AE158" s="216"/>
      <c r="AF158" s="212"/>
      <c r="AG158" s="212"/>
      <c r="AH158" s="212"/>
      <c r="AI158" s="216"/>
      <c r="AJ158" s="216"/>
      <c r="AK158" s="216"/>
      <c r="AL158" s="216"/>
      <c r="AM158" s="216"/>
      <c r="AN158" s="216"/>
      <c r="AO158" s="216"/>
      <c r="AP158" s="217"/>
      <c r="AQ158" s="212"/>
      <c r="AR158" s="212"/>
      <c r="AS158" s="212"/>
      <c r="AT158" s="212"/>
      <c r="AU158" s="212"/>
      <c r="AV158" s="212"/>
      <c r="AW158" s="212"/>
      <c r="AX158" s="212"/>
      <c r="AY158" s="212"/>
      <c r="AZ158" s="212"/>
      <c r="BA158" s="212"/>
      <c r="BB158" s="212"/>
      <c r="BC158" s="212"/>
      <c r="BD158" s="212"/>
      <c r="BE158" s="212"/>
      <c r="BF158" s="216"/>
      <c r="BG158" s="212"/>
    </row>
    <row r="159" spans="1:59" ht="15.75" customHeight="1" x14ac:dyDescent="0.25">
      <c r="A159" s="212"/>
      <c r="B159" s="212"/>
      <c r="C159" s="212"/>
      <c r="D159" s="212"/>
      <c r="E159" s="216"/>
      <c r="F159" s="216"/>
      <c r="G159" s="269"/>
      <c r="H159" s="216"/>
      <c r="I159" s="218"/>
      <c r="J159" s="212"/>
      <c r="K159" s="212"/>
      <c r="L159" s="212"/>
      <c r="M159" s="212"/>
      <c r="N159" s="212"/>
      <c r="O159" s="217"/>
      <c r="P159" s="217"/>
      <c r="Q159" s="212"/>
      <c r="R159" s="212"/>
      <c r="S159" s="217"/>
      <c r="T159" s="217"/>
      <c r="U159" s="212"/>
      <c r="V159" s="212"/>
      <c r="W159" s="212"/>
      <c r="X159" s="212"/>
      <c r="Y159" s="212"/>
      <c r="Z159" s="212"/>
      <c r="AA159" s="219"/>
      <c r="AB159" s="216"/>
      <c r="AC159" s="216"/>
      <c r="AD159" s="216"/>
      <c r="AE159" s="216"/>
      <c r="AF159" s="212"/>
      <c r="AG159" s="212"/>
      <c r="AH159" s="212"/>
      <c r="AI159" s="216"/>
      <c r="AJ159" s="216"/>
      <c r="AK159" s="216"/>
      <c r="AL159" s="216"/>
      <c r="AM159" s="216"/>
      <c r="AN159" s="216"/>
      <c r="AO159" s="216"/>
      <c r="AP159" s="217"/>
      <c r="AQ159" s="212"/>
      <c r="AR159" s="212"/>
      <c r="AS159" s="212"/>
      <c r="AT159" s="212"/>
      <c r="AU159" s="212"/>
      <c r="AV159" s="212"/>
      <c r="AW159" s="212"/>
      <c r="AX159" s="212"/>
      <c r="AY159" s="212"/>
      <c r="AZ159" s="212"/>
      <c r="BA159" s="212"/>
      <c r="BB159" s="212"/>
      <c r="BC159" s="212"/>
      <c r="BD159" s="212"/>
      <c r="BE159" s="212"/>
      <c r="BF159" s="216"/>
      <c r="BG159" s="212"/>
    </row>
    <row r="160" spans="1:59" ht="15.75" customHeight="1" x14ac:dyDescent="0.25">
      <c r="A160" s="212"/>
      <c r="B160" s="212"/>
      <c r="C160" s="212"/>
      <c r="D160" s="212"/>
      <c r="E160" s="216"/>
      <c r="F160" s="216"/>
      <c r="G160" s="269"/>
      <c r="H160" s="216"/>
      <c r="I160" s="218"/>
      <c r="J160" s="212"/>
      <c r="K160" s="212"/>
      <c r="L160" s="212"/>
      <c r="M160" s="212"/>
      <c r="N160" s="212"/>
      <c r="O160" s="217"/>
      <c r="P160" s="217"/>
      <c r="Q160" s="212"/>
      <c r="R160" s="212"/>
      <c r="S160" s="217"/>
      <c r="T160" s="217"/>
      <c r="U160" s="212"/>
      <c r="V160" s="212"/>
      <c r="W160" s="212"/>
      <c r="X160" s="212"/>
      <c r="Y160" s="212"/>
      <c r="Z160" s="212"/>
      <c r="AA160" s="219"/>
      <c r="AB160" s="216"/>
      <c r="AC160" s="216"/>
      <c r="AD160" s="216"/>
      <c r="AE160" s="216"/>
      <c r="AF160" s="212"/>
      <c r="AG160" s="212"/>
      <c r="AH160" s="212"/>
      <c r="AI160" s="216"/>
      <c r="AJ160" s="216"/>
      <c r="AK160" s="216"/>
      <c r="AL160" s="216"/>
      <c r="AM160" s="216"/>
      <c r="AN160" s="216"/>
      <c r="AO160" s="216"/>
      <c r="AP160" s="217"/>
      <c r="AQ160" s="212"/>
      <c r="AR160" s="212"/>
      <c r="AS160" s="212"/>
      <c r="AT160" s="212"/>
      <c r="AU160" s="212"/>
      <c r="AV160" s="212"/>
      <c r="AW160" s="212"/>
      <c r="AX160" s="212"/>
      <c r="AY160" s="212"/>
      <c r="AZ160" s="212"/>
      <c r="BA160" s="212"/>
      <c r="BB160" s="212"/>
      <c r="BC160" s="212"/>
      <c r="BD160" s="212"/>
      <c r="BE160" s="212"/>
      <c r="BF160" s="216"/>
      <c r="BG160" s="212"/>
    </row>
    <row r="161" spans="1:59" ht="15.75" customHeight="1" x14ac:dyDescent="0.25">
      <c r="A161" s="212"/>
      <c r="B161" s="212"/>
      <c r="C161" s="212"/>
      <c r="D161" s="212"/>
      <c r="E161" s="216"/>
      <c r="F161" s="216"/>
      <c r="G161" s="269"/>
      <c r="H161" s="216"/>
      <c r="I161" s="218"/>
      <c r="J161" s="212"/>
      <c r="K161" s="212"/>
      <c r="L161" s="212"/>
      <c r="M161" s="212"/>
      <c r="N161" s="212"/>
      <c r="O161" s="217"/>
      <c r="P161" s="217"/>
      <c r="Q161" s="212"/>
      <c r="R161" s="212"/>
      <c r="S161" s="217"/>
      <c r="T161" s="217"/>
      <c r="U161" s="212"/>
      <c r="V161" s="212"/>
      <c r="W161" s="212"/>
      <c r="X161" s="212"/>
      <c r="Y161" s="212"/>
      <c r="Z161" s="212"/>
      <c r="AA161" s="219"/>
      <c r="AB161" s="216"/>
      <c r="AC161" s="216"/>
      <c r="AD161" s="216"/>
      <c r="AE161" s="216"/>
      <c r="AF161" s="212"/>
      <c r="AG161" s="212"/>
      <c r="AH161" s="212"/>
      <c r="AI161" s="216"/>
      <c r="AJ161" s="216"/>
      <c r="AK161" s="216"/>
      <c r="AL161" s="216"/>
      <c r="AM161" s="216"/>
      <c r="AN161" s="216"/>
      <c r="AO161" s="216"/>
      <c r="AP161" s="217"/>
      <c r="AQ161" s="212"/>
      <c r="AR161" s="212"/>
      <c r="AS161" s="212"/>
      <c r="AT161" s="212"/>
      <c r="AU161" s="212"/>
      <c r="AV161" s="212"/>
      <c r="AW161" s="212"/>
      <c r="AX161" s="212"/>
      <c r="AY161" s="212"/>
      <c r="AZ161" s="212"/>
      <c r="BA161" s="212"/>
      <c r="BB161" s="212"/>
      <c r="BC161" s="212"/>
      <c r="BD161" s="212"/>
      <c r="BE161" s="212"/>
      <c r="BF161" s="216"/>
      <c r="BG161" s="212"/>
    </row>
    <row r="162" spans="1:59" ht="15.75" customHeight="1" x14ac:dyDescent="0.25">
      <c r="A162" s="212"/>
      <c r="B162" s="212"/>
      <c r="C162" s="212"/>
      <c r="D162" s="212"/>
      <c r="E162" s="216"/>
      <c r="F162" s="216"/>
      <c r="G162" s="269"/>
      <c r="H162" s="216"/>
      <c r="I162" s="218"/>
      <c r="J162" s="212"/>
      <c r="K162" s="212"/>
      <c r="L162" s="212"/>
      <c r="M162" s="212"/>
      <c r="N162" s="212"/>
      <c r="O162" s="217"/>
      <c r="P162" s="217"/>
      <c r="Q162" s="212"/>
      <c r="R162" s="212"/>
      <c r="S162" s="217"/>
      <c r="T162" s="217"/>
      <c r="U162" s="212"/>
      <c r="V162" s="212"/>
      <c r="W162" s="212"/>
      <c r="X162" s="212"/>
      <c r="Y162" s="212"/>
      <c r="Z162" s="212"/>
      <c r="AA162" s="219"/>
      <c r="AB162" s="216"/>
      <c r="AC162" s="216"/>
      <c r="AD162" s="216"/>
      <c r="AE162" s="216"/>
      <c r="AF162" s="212"/>
      <c r="AG162" s="212"/>
      <c r="AH162" s="212"/>
      <c r="AI162" s="216"/>
      <c r="AJ162" s="216"/>
      <c r="AK162" s="216"/>
      <c r="AL162" s="216"/>
      <c r="AM162" s="216"/>
      <c r="AN162" s="216"/>
      <c r="AO162" s="216"/>
      <c r="AP162" s="217"/>
      <c r="AQ162" s="212"/>
      <c r="AR162" s="212"/>
      <c r="AS162" s="212"/>
      <c r="AT162" s="212"/>
      <c r="AU162" s="212"/>
      <c r="AV162" s="212"/>
      <c r="AW162" s="212"/>
      <c r="AX162" s="212"/>
      <c r="AY162" s="212"/>
      <c r="AZ162" s="212"/>
      <c r="BA162" s="212"/>
      <c r="BB162" s="212"/>
      <c r="BC162" s="212"/>
      <c r="BD162" s="212"/>
      <c r="BE162" s="212"/>
      <c r="BF162" s="216"/>
      <c r="BG162" s="212"/>
    </row>
    <row r="163" spans="1:59" ht="15.75" customHeight="1" x14ac:dyDescent="0.25">
      <c r="A163" s="212"/>
      <c r="B163" s="212"/>
      <c r="C163" s="212"/>
      <c r="D163" s="212"/>
      <c r="E163" s="216"/>
      <c r="F163" s="216"/>
      <c r="G163" s="269"/>
      <c r="H163" s="216"/>
      <c r="I163" s="218"/>
      <c r="J163" s="212"/>
      <c r="K163" s="212"/>
      <c r="L163" s="212"/>
      <c r="M163" s="212"/>
      <c r="N163" s="212"/>
      <c r="O163" s="217"/>
      <c r="P163" s="217"/>
      <c r="Q163" s="212"/>
      <c r="R163" s="212"/>
      <c r="S163" s="217"/>
      <c r="T163" s="217"/>
      <c r="U163" s="212"/>
      <c r="V163" s="212"/>
      <c r="W163" s="212"/>
      <c r="X163" s="212"/>
      <c r="Y163" s="212"/>
      <c r="Z163" s="212"/>
      <c r="AA163" s="219"/>
      <c r="AB163" s="216"/>
      <c r="AC163" s="216"/>
      <c r="AD163" s="216"/>
      <c r="AE163" s="216"/>
      <c r="AF163" s="212"/>
      <c r="AG163" s="212"/>
      <c r="AH163" s="212"/>
      <c r="AI163" s="216"/>
      <c r="AJ163" s="216"/>
      <c r="AK163" s="216"/>
      <c r="AL163" s="216"/>
      <c r="AM163" s="216"/>
      <c r="AN163" s="216"/>
      <c r="AO163" s="216"/>
      <c r="AP163" s="217"/>
      <c r="AQ163" s="212"/>
      <c r="AR163" s="212"/>
      <c r="AS163" s="212"/>
      <c r="AT163" s="212"/>
      <c r="AU163" s="212"/>
      <c r="AV163" s="212"/>
      <c r="AW163" s="212"/>
      <c r="AX163" s="212"/>
      <c r="AY163" s="212"/>
      <c r="AZ163" s="212"/>
      <c r="BA163" s="212"/>
      <c r="BB163" s="212"/>
      <c r="BC163" s="212"/>
      <c r="BD163" s="212"/>
      <c r="BE163" s="212"/>
      <c r="BF163" s="216"/>
      <c r="BG163" s="212"/>
    </row>
    <row r="164" spans="1:59" ht="15.75" customHeight="1" x14ac:dyDescent="0.25">
      <c r="A164" s="212"/>
      <c r="B164" s="212"/>
      <c r="C164" s="212"/>
      <c r="D164" s="212"/>
      <c r="E164" s="216"/>
      <c r="F164" s="216"/>
      <c r="G164" s="269"/>
      <c r="H164" s="216"/>
      <c r="I164" s="218"/>
      <c r="J164" s="212"/>
      <c r="K164" s="212"/>
      <c r="L164" s="212"/>
      <c r="M164" s="212"/>
      <c r="N164" s="212"/>
      <c r="O164" s="217"/>
      <c r="P164" s="217"/>
      <c r="Q164" s="212"/>
      <c r="R164" s="212"/>
      <c r="S164" s="217"/>
      <c r="T164" s="217"/>
      <c r="U164" s="212"/>
      <c r="V164" s="212"/>
      <c r="W164" s="212"/>
      <c r="X164" s="212"/>
      <c r="Y164" s="212"/>
      <c r="Z164" s="212"/>
      <c r="AA164" s="219"/>
      <c r="AB164" s="216"/>
      <c r="AC164" s="216"/>
      <c r="AD164" s="216"/>
      <c r="AE164" s="216"/>
      <c r="AF164" s="212"/>
      <c r="AG164" s="212"/>
      <c r="AH164" s="212"/>
      <c r="AI164" s="216"/>
      <c r="AJ164" s="216"/>
      <c r="AK164" s="216"/>
      <c r="AL164" s="216"/>
      <c r="AM164" s="216"/>
      <c r="AN164" s="216"/>
      <c r="AO164" s="216"/>
      <c r="AP164" s="217"/>
      <c r="AQ164" s="212"/>
      <c r="AR164" s="212"/>
      <c r="AS164" s="212"/>
      <c r="AT164" s="212"/>
      <c r="AU164" s="212"/>
      <c r="AV164" s="212"/>
      <c r="AW164" s="212"/>
      <c r="AX164" s="212"/>
      <c r="AY164" s="212"/>
      <c r="AZ164" s="212"/>
      <c r="BA164" s="212"/>
      <c r="BB164" s="212"/>
      <c r="BC164" s="212"/>
      <c r="BD164" s="212"/>
      <c r="BE164" s="212"/>
      <c r="BF164" s="216"/>
      <c r="BG164" s="212"/>
    </row>
    <row r="165" spans="1:59" ht="15.75" customHeight="1" x14ac:dyDescent="0.25">
      <c r="A165" s="212"/>
      <c r="B165" s="212"/>
      <c r="C165" s="212"/>
      <c r="D165" s="212"/>
      <c r="E165" s="216"/>
      <c r="F165" s="216"/>
      <c r="G165" s="269"/>
      <c r="H165" s="216"/>
      <c r="I165" s="218"/>
      <c r="J165" s="212"/>
      <c r="K165" s="212"/>
      <c r="L165" s="212"/>
      <c r="M165" s="212"/>
      <c r="N165" s="212"/>
      <c r="O165" s="217"/>
      <c r="P165" s="217"/>
      <c r="Q165" s="212"/>
      <c r="R165" s="212"/>
      <c r="S165" s="217"/>
      <c r="T165" s="217"/>
      <c r="U165" s="212"/>
      <c r="V165" s="212"/>
      <c r="W165" s="212"/>
      <c r="X165" s="212"/>
      <c r="Y165" s="212"/>
      <c r="Z165" s="212"/>
      <c r="AA165" s="219"/>
      <c r="AB165" s="216"/>
      <c r="AC165" s="216"/>
      <c r="AD165" s="216"/>
      <c r="AE165" s="216"/>
      <c r="AF165" s="212"/>
      <c r="AG165" s="212"/>
      <c r="AH165" s="212"/>
      <c r="AI165" s="216"/>
      <c r="AJ165" s="216"/>
      <c r="AK165" s="216"/>
      <c r="AL165" s="216"/>
      <c r="AM165" s="216"/>
      <c r="AN165" s="216"/>
      <c r="AO165" s="216"/>
      <c r="AP165" s="217"/>
      <c r="AQ165" s="212"/>
      <c r="AR165" s="212"/>
      <c r="AS165" s="212"/>
      <c r="AT165" s="212"/>
      <c r="AU165" s="212"/>
      <c r="AV165" s="212"/>
      <c r="AW165" s="212"/>
      <c r="AX165" s="212"/>
      <c r="AY165" s="212"/>
      <c r="AZ165" s="212"/>
      <c r="BA165" s="212"/>
      <c r="BB165" s="212"/>
      <c r="BC165" s="212"/>
      <c r="BD165" s="212"/>
      <c r="BE165" s="212"/>
      <c r="BF165" s="216"/>
      <c r="BG165" s="212"/>
    </row>
    <row r="166" spans="1:59" ht="15.75" customHeight="1" x14ac:dyDescent="0.25">
      <c r="A166" s="212"/>
      <c r="B166" s="212"/>
      <c r="C166" s="212"/>
      <c r="D166" s="212"/>
      <c r="E166" s="216"/>
      <c r="F166" s="216"/>
      <c r="G166" s="269"/>
      <c r="H166" s="216"/>
      <c r="I166" s="218"/>
      <c r="J166" s="212"/>
      <c r="K166" s="212"/>
      <c r="L166" s="212"/>
      <c r="M166" s="212"/>
      <c r="N166" s="212"/>
      <c r="O166" s="217"/>
      <c r="P166" s="217"/>
      <c r="Q166" s="212"/>
      <c r="R166" s="212"/>
      <c r="S166" s="217"/>
      <c r="T166" s="217"/>
      <c r="U166" s="212"/>
      <c r="V166" s="212"/>
      <c r="W166" s="212"/>
      <c r="X166" s="212"/>
      <c r="Y166" s="212"/>
      <c r="Z166" s="212"/>
      <c r="AA166" s="219"/>
      <c r="AB166" s="216"/>
      <c r="AC166" s="216"/>
      <c r="AD166" s="216"/>
      <c r="AE166" s="216"/>
      <c r="AF166" s="212"/>
      <c r="AG166" s="212"/>
      <c r="AH166" s="212"/>
      <c r="AI166" s="216"/>
      <c r="AJ166" s="216"/>
      <c r="AK166" s="216"/>
      <c r="AL166" s="216"/>
      <c r="AM166" s="216"/>
      <c r="AN166" s="216"/>
      <c r="AO166" s="216"/>
      <c r="AP166" s="217"/>
      <c r="AQ166" s="212"/>
      <c r="AR166" s="212"/>
      <c r="AS166" s="212"/>
      <c r="AT166" s="212"/>
      <c r="AU166" s="212"/>
      <c r="AV166" s="212"/>
      <c r="AW166" s="212"/>
      <c r="AX166" s="212"/>
      <c r="AY166" s="212"/>
      <c r="AZ166" s="212"/>
      <c r="BA166" s="212"/>
      <c r="BB166" s="212"/>
      <c r="BC166" s="212"/>
      <c r="BD166" s="212"/>
      <c r="BE166" s="212"/>
      <c r="BF166" s="216"/>
      <c r="BG166" s="212"/>
    </row>
    <row r="167" spans="1:59" ht="15.75" customHeight="1" x14ac:dyDescent="0.25">
      <c r="A167" s="212"/>
      <c r="B167" s="212"/>
      <c r="C167" s="212"/>
      <c r="D167" s="212"/>
      <c r="E167" s="216"/>
      <c r="F167" s="216"/>
      <c r="G167" s="269"/>
      <c r="H167" s="216"/>
      <c r="I167" s="218"/>
      <c r="J167" s="212"/>
      <c r="K167" s="212"/>
      <c r="L167" s="212"/>
      <c r="M167" s="212"/>
      <c r="N167" s="212"/>
      <c r="O167" s="217"/>
      <c r="P167" s="217"/>
      <c r="Q167" s="212"/>
      <c r="R167" s="212"/>
      <c r="S167" s="217"/>
      <c r="T167" s="217"/>
      <c r="U167" s="212"/>
      <c r="V167" s="212"/>
      <c r="W167" s="212"/>
      <c r="X167" s="212"/>
      <c r="Y167" s="212"/>
      <c r="Z167" s="212"/>
      <c r="AA167" s="219"/>
      <c r="AB167" s="216"/>
      <c r="AC167" s="216"/>
      <c r="AD167" s="216"/>
      <c r="AE167" s="216"/>
      <c r="AF167" s="212"/>
      <c r="AG167" s="212"/>
      <c r="AH167" s="212"/>
      <c r="AI167" s="216"/>
      <c r="AJ167" s="216"/>
      <c r="AK167" s="216"/>
      <c r="AL167" s="216"/>
      <c r="AM167" s="216"/>
      <c r="AN167" s="216"/>
      <c r="AO167" s="216"/>
      <c r="AP167" s="217"/>
      <c r="AQ167" s="212"/>
      <c r="AR167" s="212"/>
      <c r="AS167" s="212"/>
      <c r="AT167" s="212"/>
      <c r="AU167" s="212"/>
      <c r="AV167" s="212"/>
      <c r="AW167" s="212"/>
      <c r="AX167" s="212"/>
      <c r="AY167" s="212"/>
      <c r="AZ167" s="212"/>
      <c r="BA167" s="212"/>
      <c r="BB167" s="212"/>
      <c r="BC167" s="212"/>
      <c r="BD167" s="212"/>
      <c r="BE167" s="212"/>
      <c r="BF167" s="216"/>
      <c r="BG167" s="212"/>
    </row>
    <row r="168" spans="1:59" ht="15.75" customHeight="1" x14ac:dyDescent="0.25">
      <c r="A168" s="212"/>
      <c r="B168" s="212"/>
      <c r="C168" s="212"/>
      <c r="D168" s="212"/>
      <c r="E168" s="216"/>
      <c r="F168" s="216"/>
      <c r="G168" s="269"/>
      <c r="H168" s="216"/>
      <c r="I168" s="218"/>
      <c r="J168" s="212"/>
      <c r="K168" s="212"/>
      <c r="L168" s="212"/>
      <c r="M168" s="212"/>
      <c r="N168" s="212"/>
      <c r="O168" s="217"/>
      <c r="P168" s="217"/>
      <c r="Q168" s="212"/>
      <c r="R168" s="212"/>
      <c r="S168" s="217"/>
      <c r="T168" s="217"/>
      <c r="U168" s="212"/>
      <c r="V168" s="212"/>
      <c r="W168" s="212"/>
      <c r="X168" s="212"/>
      <c r="Y168" s="212"/>
      <c r="Z168" s="212"/>
      <c r="AA168" s="219"/>
      <c r="AB168" s="216"/>
      <c r="AC168" s="216"/>
      <c r="AD168" s="216"/>
      <c r="AE168" s="216"/>
      <c r="AF168" s="212"/>
      <c r="AG168" s="212"/>
      <c r="AH168" s="212"/>
      <c r="AI168" s="216"/>
      <c r="AJ168" s="216"/>
      <c r="AK168" s="216"/>
      <c r="AL168" s="216"/>
      <c r="AM168" s="216"/>
      <c r="AN168" s="216"/>
      <c r="AO168" s="216"/>
      <c r="AP168" s="217"/>
      <c r="AQ168" s="212"/>
      <c r="AR168" s="212"/>
      <c r="AS168" s="212"/>
      <c r="AT168" s="212"/>
      <c r="AU168" s="212"/>
      <c r="AV168" s="212"/>
      <c r="AW168" s="212"/>
      <c r="AX168" s="212"/>
      <c r="AY168" s="212"/>
      <c r="AZ168" s="212"/>
      <c r="BA168" s="212"/>
      <c r="BB168" s="212"/>
      <c r="BC168" s="212"/>
      <c r="BD168" s="212"/>
      <c r="BE168" s="212"/>
      <c r="BF168" s="216"/>
      <c r="BG168" s="212"/>
    </row>
    <row r="169" spans="1:59" ht="15.75" customHeight="1" x14ac:dyDescent="0.25">
      <c r="A169" s="212"/>
      <c r="B169" s="212"/>
      <c r="C169" s="212"/>
      <c r="D169" s="212"/>
      <c r="E169" s="216"/>
      <c r="F169" s="216"/>
      <c r="G169" s="269"/>
      <c r="H169" s="216"/>
      <c r="I169" s="218"/>
      <c r="J169" s="212"/>
      <c r="K169" s="212"/>
      <c r="L169" s="212"/>
      <c r="M169" s="212"/>
      <c r="N169" s="212"/>
      <c r="O169" s="217"/>
      <c r="P169" s="217"/>
      <c r="Q169" s="212"/>
      <c r="R169" s="212"/>
      <c r="S169" s="217"/>
      <c r="T169" s="217"/>
      <c r="U169" s="212"/>
      <c r="V169" s="212"/>
      <c r="W169" s="212"/>
      <c r="X169" s="212"/>
      <c r="Y169" s="212"/>
      <c r="Z169" s="212"/>
      <c r="AA169" s="219"/>
      <c r="AB169" s="216"/>
      <c r="AC169" s="216"/>
      <c r="AD169" s="216"/>
      <c r="AE169" s="216"/>
      <c r="AF169" s="212"/>
      <c r="AG169" s="212"/>
      <c r="AH169" s="212"/>
      <c r="AI169" s="216"/>
      <c r="AJ169" s="216"/>
      <c r="AK169" s="216"/>
      <c r="AL169" s="216"/>
      <c r="AM169" s="216"/>
      <c r="AN169" s="216"/>
      <c r="AO169" s="216"/>
      <c r="AP169" s="217"/>
      <c r="AQ169" s="212"/>
      <c r="AR169" s="212"/>
      <c r="AS169" s="212"/>
      <c r="AT169" s="212"/>
      <c r="AU169" s="212"/>
      <c r="AV169" s="212"/>
      <c r="AW169" s="212"/>
      <c r="AX169" s="212"/>
      <c r="AY169" s="212"/>
      <c r="AZ169" s="212"/>
      <c r="BA169" s="212"/>
      <c r="BB169" s="212"/>
      <c r="BC169" s="212"/>
      <c r="BD169" s="212"/>
      <c r="BE169" s="212"/>
      <c r="BF169" s="216"/>
      <c r="BG169" s="212"/>
    </row>
    <row r="170" spans="1:59" ht="15.75" customHeight="1" x14ac:dyDescent="0.25">
      <c r="A170" s="212"/>
      <c r="B170" s="212"/>
      <c r="C170" s="212"/>
      <c r="D170" s="212"/>
      <c r="E170" s="216"/>
      <c r="F170" s="216"/>
      <c r="G170" s="269"/>
      <c r="H170" s="216"/>
      <c r="I170" s="218"/>
      <c r="J170" s="212"/>
      <c r="K170" s="212"/>
      <c r="L170" s="212"/>
      <c r="M170" s="212"/>
      <c r="N170" s="212"/>
      <c r="O170" s="217"/>
      <c r="P170" s="217"/>
      <c r="Q170" s="212"/>
      <c r="R170" s="212"/>
      <c r="S170" s="217"/>
      <c r="T170" s="217"/>
      <c r="U170" s="212"/>
      <c r="V170" s="212"/>
      <c r="W170" s="212"/>
      <c r="X170" s="212"/>
      <c r="Y170" s="212"/>
      <c r="Z170" s="212"/>
      <c r="AA170" s="219"/>
      <c r="AB170" s="216"/>
      <c r="AC170" s="216"/>
      <c r="AD170" s="216"/>
      <c r="AE170" s="216"/>
      <c r="AF170" s="212"/>
      <c r="AG170" s="212"/>
      <c r="AH170" s="212"/>
      <c r="AI170" s="216"/>
      <c r="AJ170" s="216"/>
      <c r="AK170" s="216"/>
      <c r="AL170" s="216"/>
      <c r="AM170" s="216"/>
      <c r="AN170" s="216"/>
      <c r="AO170" s="216"/>
      <c r="AP170" s="217"/>
      <c r="AQ170" s="212"/>
      <c r="AR170" s="212"/>
      <c r="AS170" s="212"/>
      <c r="AT170" s="212"/>
      <c r="AU170" s="212"/>
      <c r="AV170" s="212"/>
      <c r="AW170" s="212"/>
      <c r="AX170" s="212"/>
      <c r="AY170" s="212"/>
      <c r="AZ170" s="212"/>
      <c r="BA170" s="212"/>
      <c r="BB170" s="212"/>
      <c r="BC170" s="212"/>
      <c r="BD170" s="212"/>
      <c r="BE170" s="212"/>
      <c r="BF170" s="216"/>
      <c r="BG170" s="212"/>
    </row>
    <row r="171" spans="1:59" ht="15.75" customHeight="1" x14ac:dyDescent="0.25">
      <c r="A171" s="212"/>
      <c r="B171" s="212"/>
      <c r="C171" s="212"/>
      <c r="D171" s="212"/>
      <c r="E171" s="216"/>
      <c r="F171" s="216"/>
      <c r="G171" s="269"/>
      <c r="H171" s="216"/>
      <c r="I171" s="218"/>
      <c r="J171" s="212"/>
      <c r="K171" s="212"/>
      <c r="L171" s="212"/>
      <c r="M171" s="212"/>
      <c r="N171" s="212"/>
      <c r="O171" s="217"/>
      <c r="P171" s="217"/>
      <c r="Q171" s="212"/>
      <c r="R171" s="212"/>
      <c r="S171" s="217"/>
      <c r="T171" s="217"/>
      <c r="U171" s="212"/>
      <c r="V171" s="212"/>
      <c r="W171" s="212"/>
      <c r="X171" s="212"/>
      <c r="Y171" s="212"/>
      <c r="Z171" s="212"/>
      <c r="AA171" s="219"/>
      <c r="AB171" s="216"/>
      <c r="AC171" s="216"/>
      <c r="AD171" s="216"/>
      <c r="AE171" s="216"/>
      <c r="AF171" s="212"/>
      <c r="AG171" s="212"/>
      <c r="AH171" s="212"/>
      <c r="AI171" s="216"/>
      <c r="AJ171" s="216"/>
      <c r="AK171" s="216"/>
      <c r="AL171" s="216"/>
      <c r="AM171" s="216"/>
      <c r="AN171" s="216"/>
      <c r="AO171" s="216"/>
      <c r="AP171" s="217"/>
      <c r="AQ171" s="212"/>
      <c r="AR171" s="212"/>
      <c r="AS171" s="212"/>
      <c r="AT171" s="212"/>
      <c r="AU171" s="212"/>
      <c r="AV171" s="212"/>
      <c r="AW171" s="212"/>
      <c r="AX171" s="212"/>
      <c r="AY171" s="212"/>
      <c r="AZ171" s="212"/>
      <c r="BA171" s="212"/>
      <c r="BB171" s="212"/>
      <c r="BC171" s="212"/>
      <c r="BD171" s="212"/>
      <c r="BE171" s="212"/>
      <c r="BF171" s="216"/>
      <c r="BG171" s="212"/>
    </row>
    <row r="172" spans="1:59" ht="15.75" customHeight="1" x14ac:dyDescent="0.25">
      <c r="A172" s="212"/>
      <c r="B172" s="212"/>
      <c r="C172" s="212"/>
      <c r="D172" s="212"/>
      <c r="E172" s="216"/>
      <c r="F172" s="216"/>
      <c r="G172" s="269"/>
      <c r="H172" s="216"/>
      <c r="I172" s="218"/>
      <c r="J172" s="212"/>
      <c r="K172" s="212"/>
      <c r="L172" s="212"/>
      <c r="M172" s="212"/>
      <c r="N172" s="212"/>
      <c r="O172" s="217"/>
      <c r="P172" s="217"/>
      <c r="Q172" s="212"/>
      <c r="R172" s="212"/>
      <c r="S172" s="217"/>
      <c r="T172" s="217"/>
      <c r="U172" s="212"/>
      <c r="V172" s="212"/>
      <c r="W172" s="212"/>
      <c r="X172" s="212"/>
      <c r="Y172" s="212"/>
      <c r="Z172" s="212"/>
      <c r="AA172" s="219"/>
      <c r="AB172" s="216"/>
      <c r="AC172" s="216"/>
      <c r="AD172" s="216"/>
      <c r="AE172" s="216"/>
      <c r="AF172" s="212"/>
      <c r="AG172" s="212"/>
      <c r="AH172" s="212"/>
      <c r="AI172" s="216"/>
      <c r="AJ172" s="216"/>
      <c r="AK172" s="216"/>
      <c r="AL172" s="216"/>
      <c r="AM172" s="216"/>
      <c r="AN172" s="216"/>
      <c r="AO172" s="216"/>
      <c r="AP172" s="217"/>
      <c r="AQ172" s="212"/>
      <c r="AR172" s="212"/>
      <c r="AS172" s="212"/>
      <c r="AT172" s="212"/>
      <c r="AU172" s="212"/>
      <c r="AV172" s="212"/>
      <c r="AW172" s="212"/>
      <c r="AX172" s="212"/>
      <c r="AY172" s="212"/>
      <c r="AZ172" s="212"/>
      <c r="BA172" s="212"/>
      <c r="BB172" s="212"/>
      <c r="BC172" s="212"/>
      <c r="BD172" s="212"/>
      <c r="BE172" s="212"/>
      <c r="BF172" s="216"/>
      <c r="BG172" s="212"/>
    </row>
    <row r="173" spans="1:59" ht="15.75" customHeight="1" x14ac:dyDescent="0.25">
      <c r="A173" s="212"/>
      <c r="B173" s="212"/>
      <c r="C173" s="212"/>
      <c r="D173" s="212"/>
      <c r="E173" s="216"/>
      <c r="F173" s="216"/>
      <c r="G173" s="269"/>
      <c r="H173" s="216"/>
      <c r="I173" s="218"/>
      <c r="J173" s="212"/>
      <c r="K173" s="212"/>
      <c r="L173" s="212"/>
      <c r="M173" s="212"/>
      <c r="N173" s="212"/>
      <c r="O173" s="217"/>
      <c r="P173" s="217"/>
      <c r="Q173" s="212"/>
      <c r="R173" s="212"/>
      <c r="S173" s="217"/>
      <c r="T173" s="217"/>
      <c r="U173" s="212"/>
      <c r="V173" s="212"/>
      <c r="W173" s="212"/>
      <c r="X173" s="212"/>
      <c r="Y173" s="212"/>
      <c r="Z173" s="212"/>
      <c r="AA173" s="219"/>
      <c r="AB173" s="216"/>
      <c r="AC173" s="216"/>
      <c r="AD173" s="216"/>
      <c r="AE173" s="216"/>
      <c r="AF173" s="212"/>
      <c r="AG173" s="212"/>
      <c r="AH173" s="212"/>
      <c r="AI173" s="216"/>
      <c r="AJ173" s="216"/>
      <c r="AK173" s="216"/>
      <c r="AL173" s="216"/>
      <c r="AM173" s="216"/>
      <c r="AN173" s="216"/>
      <c r="AO173" s="216"/>
      <c r="AP173" s="217"/>
      <c r="AQ173" s="212"/>
      <c r="AR173" s="212"/>
      <c r="AS173" s="212"/>
      <c r="AT173" s="212"/>
      <c r="AU173" s="212"/>
      <c r="AV173" s="212"/>
      <c r="AW173" s="212"/>
      <c r="AX173" s="212"/>
      <c r="AY173" s="212"/>
      <c r="AZ173" s="212"/>
      <c r="BA173" s="212"/>
      <c r="BB173" s="212"/>
      <c r="BC173" s="212"/>
      <c r="BD173" s="212"/>
      <c r="BE173" s="212"/>
      <c r="BF173" s="216"/>
      <c r="BG173" s="212"/>
    </row>
    <row r="174" spans="1:59" ht="15.75" customHeight="1" x14ac:dyDescent="0.25">
      <c r="A174" s="212"/>
      <c r="B174" s="212"/>
      <c r="C174" s="212"/>
      <c r="D174" s="212"/>
      <c r="E174" s="216"/>
      <c r="F174" s="216"/>
      <c r="G174" s="269"/>
      <c r="H174" s="216"/>
      <c r="I174" s="218"/>
      <c r="J174" s="212"/>
      <c r="K174" s="212"/>
      <c r="L174" s="212"/>
      <c r="M174" s="212"/>
      <c r="N174" s="212"/>
      <c r="O174" s="217"/>
      <c r="P174" s="217"/>
      <c r="Q174" s="212"/>
      <c r="R174" s="212"/>
      <c r="S174" s="217"/>
      <c r="T174" s="217"/>
      <c r="U174" s="212"/>
      <c r="V174" s="212"/>
      <c r="W174" s="212"/>
      <c r="X174" s="212"/>
      <c r="Y174" s="212"/>
      <c r="Z174" s="212"/>
      <c r="AA174" s="219"/>
      <c r="AB174" s="216"/>
      <c r="AC174" s="216"/>
      <c r="AD174" s="216"/>
      <c r="AE174" s="216"/>
      <c r="AF174" s="212"/>
      <c r="AG174" s="212"/>
      <c r="AH174" s="212"/>
      <c r="AI174" s="216"/>
      <c r="AJ174" s="216"/>
      <c r="AK174" s="216"/>
      <c r="AL174" s="216"/>
      <c r="AM174" s="216"/>
      <c r="AN174" s="216"/>
      <c r="AO174" s="216"/>
      <c r="AP174" s="217"/>
      <c r="AQ174" s="212"/>
      <c r="AR174" s="212"/>
      <c r="AS174" s="212"/>
      <c r="AT174" s="212"/>
      <c r="AU174" s="212"/>
      <c r="AV174" s="212"/>
      <c r="AW174" s="212"/>
      <c r="AX174" s="212"/>
      <c r="AY174" s="212"/>
      <c r="AZ174" s="212"/>
      <c r="BA174" s="212"/>
      <c r="BB174" s="212"/>
      <c r="BC174" s="212"/>
      <c r="BD174" s="212"/>
      <c r="BE174" s="212"/>
      <c r="BF174" s="216"/>
      <c r="BG174" s="212"/>
    </row>
    <row r="175" spans="1:59" ht="15.75" customHeight="1" x14ac:dyDescent="0.25">
      <c r="A175" s="212"/>
      <c r="B175" s="212"/>
      <c r="C175" s="212"/>
      <c r="D175" s="212"/>
      <c r="E175" s="216"/>
      <c r="F175" s="216"/>
      <c r="G175" s="269"/>
      <c r="H175" s="216"/>
      <c r="I175" s="218"/>
      <c r="J175" s="212"/>
      <c r="K175" s="212"/>
      <c r="L175" s="212"/>
      <c r="M175" s="212"/>
      <c r="N175" s="212"/>
      <c r="O175" s="217"/>
      <c r="P175" s="217"/>
      <c r="Q175" s="212"/>
      <c r="R175" s="212"/>
      <c r="S175" s="217"/>
      <c r="T175" s="217"/>
      <c r="U175" s="212"/>
      <c r="V175" s="212"/>
      <c r="W175" s="212"/>
      <c r="X175" s="212"/>
      <c r="Y175" s="212"/>
      <c r="Z175" s="212"/>
      <c r="AA175" s="219"/>
      <c r="AB175" s="216"/>
      <c r="AC175" s="216"/>
      <c r="AD175" s="216"/>
      <c r="AE175" s="216"/>
      <c r="AF175" s="212"/>
      <c r="AG175" s="212"/>
      <c r="AH175" s="212"/>
      <c r="AI175" s="216"/>
      <c r="AJ175" s="216"/>
      <c r="AK175" s="216"/>
      <c r="AL175" s="216"/>
      <c r="AM175" s="216"/>
      <c r="AN175" s="216"/>
      <c r="AO175" s="216"/>
      <c r="AP175" s="217"/>
      <c r="AQ175" s="212"/>
      <c r="AR175" s="212"/>
      <c r="AS175" s="212"/>
      <c r="AT175" s="212"/>
      <c r="AU175" s="212"/>
      <c r="AV175" s="212"/>
      <c r="AW175" s="212"/>
      <c r="AX175" s="212"/>
      <c r="AY175" s="212"/>
      <c r="AZ175" s="212"/>
      <c r="BA175" s="212"/>
      <c r="BB175" s="212"/>
      <c r="BC175" s="212"/>
      <c r="BD175" s="212"/>
      <c r="BE175" s="212"/>
      <c r="BF175" s="216"/>
      <c r="BG175" s="212"/>
    </row>
    <row r="176" spans="1:59" ht="15.75" customHeight="1" x14ac:dyDescent="0.25">
      <c r="A176" s="212"/>
      <c r="B176" s="212"/>
      <c r="C176" s="212"/>
      <c r="D176" s="212"/>
      <c r="E176" s="216"/>
      <c r="F176" s="216"/>
      <c r="G176" s="269"/>
      <c r="H176" s="216"/>
      <c r="I176" s="218"/>
      <c r="J176" s="212"/>
      <c r="K176" s="212"/>
      <c r="L176" s="212"/>
      <c r="M176" s="212"/>
      <c r="N176" s="212"/>
      <c r="O176" s="217"/>
      <c r="P176" s="217"/>
      <c r="Q176" s="212"/>
      <c r="R176" s="212"/>
      <c r="S176" s="217"/>
      <c r="T176" s="217"/>
      <c r="U176" s="212"/>
      <c r="V176" s="212"/>
      <c r="W176" s="212"/>
      <c r="X176" s="212"/>
      <c r="Y176" s="212"/>
      <c r="Z176" s="212"/>
      <c r="AA176" s="219"/>
      <c r="AB176" s="216"/>
      <c r="AC176" s="216"/>
      <c r="AD176" s="216"/>
      <c r="AE176" s="216"/>
      <c r="AF176" s="212"/>
      <c r="AG176" s="212"/>
      <c r="AH176" s="212"/>
      <c r="AI176" s="216"/>
      <c r="AJ176" s="216"/>
      <c r="AK176" s="216"/>
      <c r="AL176" s="216"/>
      <c r="AM176" s="216"/>
      <c r="AN176" s="216"/>
      <c r="AO176" s="216"/>
      <c r="AP176" s="217"/>
      <c r="AQ176" s="212"/>
      <c r="AR176" s="212"/>
      <c r="AS176" s="212"/>
      <c r="AT176" s="212"/>
      <c r="AU176" s="212"/>
      <c r="AV176" s="212"/>
      <c r="AW176" s="212"/>
      <c r="AX176" s="212"/>
      <c r="AY176" s="212"/>
      <c r="AZ176" s="212"/>
      <c r="BA176" s="212"/>
      <c r="BB176" s="212"/>
      <c r="BC176" s="212"/>
      <c r="BD176" s="212"/>
      <c r="BE176" s="212"/>
      <c r="BF176" s="216"/>
      <c r="BG176" s="212"/>
    </row>
    <row r="177" spans="1:59" ht="15.75" customHeight="1" x14ac:dyDescent="0.25">
      <c r="A177" s="212"/>
      <c r="B177" s="212"/>
      <c r="C177" s="212"/>
      <c r="D177" s="212"/>
      <c r="E177" s="216"/>
      <c r="F177" s="216"/>
      <c r="G177" s="269"/>
      <c r="H177" s="216"/>
      <c r="I177" s="218"/>
      <c r="J177" s="212"/>
      <c r="K177" s="212"/>
      <c r="L177" s="212"/>
      <c r="M177" s="212"/>
      <c r="N177" s="212"/>
      <c r="O177" s="217"/>
      <c r="P177" s="217"/>
      <c r="Q177" s="212"/>
      <c r="R177" s="212"/>
      <c r="S177" s="217"/>
      <c r="T177" s="217"/>
      <c r="U177" s="212"/>
      <c r="V177" s="212"/>
      <c r="W177" s="212"/>
      <c r="X177" s="212"/>
      <c r="Y177" s="212"/>
      <c r="Z177" s="212"/>
      <c r="AA177" s="219"/>
      <c r="AB177" s="216"/>
      <c r="AC177" s="216"/>
      <c r="AD177" s="216"/>
      <c r="AE177" s="216"/>
      <c r="AF177" s="212"/>
      <c r="AG177" s="212"/>
      <c r="AH177" s="212"/>
      <c r="AI177" s="216"/>
      <c r="AJ177" s="216"/>
      <c r="AK177" s="216"/>
      <c r="AL177" s="216"/>
      <c r="AM177" s="216"/>
      <c r="AN177" s="216"/>
      <c r="AO177" s="216"/>
      <c r="AP177" s="217"/>
      <c r="AQ177" s="212"/>
      <c r="AR177" s="212"/>
      <c r="AS177" s="212"/>
      <c r="AT177" s="212"/>
      <c r="AU177" s="212"/>
      <c r="AV177" s="212"/>
      <c r="AW177" s="212"/>
      <c r="AX177" s="212"/>
      <c r="AY177" s="212"/>
      <c r="AZ177" s="212"/>
      <c r="BA177" s="212"/>
      <c r="BB177" s="212"/>
      <c r="BC177" s="212"/>
      <c r="BD177" s="212"/>
      <c r="BE177" s="212"/>
      <c r="BF177" s="216"/>
      <c r="BG177" s="212"/>
    </row>
    <row r="178" spans="1:59" ht="15.75" customHeight="1" x14ac:dyDescent="0.25">
      <c r="A178" s="212"/>
      <c r="B178" s="212"/>
      <c r="C178" s="212"/>
      <c r="D178" s="212"/>
      <c r="E178" s="216"/>
      <c r="F178" s="216"/>
      <c r="G178" s="269"/>
      <c r="H178" s="216"/>
      <c r="I178" s="218"/>
      <c r="J178" s="212"/>
      <c r="K178" s="212"/>
      <c r="L178" s="212"/>
      <c r="M178" s="212"/>
      <c r="N178" s="212"/>
      <c r="O178" s="217"/>
      <c r="P178" s="217"/>
      <c r="Q178" s="212"/>
      <c r="R178" s="212"/>
      <c r="S178" s="217"/>
      <c r="T178" s="217"/>
      <c r="U178" s="212"/>
      <c r="V178" s="212"/>
      <c r="W178" s="212"/>
      <c r="X178" s="212"/>
      <c r="Y178" s="212"/>
      <c r="Z178" s="212"/>
      <c r="AA178" s="219"/>
      <c r="AB178" s="216"/>
      <c r="AC178" s="216"/>
      <c r="AD178" s="216"/>
      <c r="AE178" s="216"/>
      <c r="AF178" s="212"/>
      <c r="AG178" s="212"/>
      <c r="AH178" s="212"/>
      <c r="AI178" s="216"/>
      <c r="AJ178" s="216"/>
      <c r="AK178" s="216"/>
      <c r="AL178" s="216"/>
      <c r="AM178" s="216"/>
      <c r="AN178" s="216"/>
      <c r="AO178" s="216"/>
      <c r="AP178" s="217"/>
      <c r="AQ178" s="212"/>
      <c r="AR178" s="212"/>
      <c r="AS178" s="212"/>
      <c r="AT178" s="212"/>
      <c r="AU178" s="212"/>
      <c r="AV178" s="212"/>
      <c r="AW178" s="212"/>
      <c r="AX178" s="212"/>
      <c r="AY178" s="212"/>
      <c r="AZ178" s="212"/>
      <c r="BA178" s="212"/>
      <c r="BB178" s="212"/>
      <c r="BC178" s="212"/>
      <c r="BD178" s="212"/>
      <c r="BE178" s="212"/>
      <c r="BF178" s="216"/>
      <c r="BG178" s="212"/>
    </row>
    <row r="179" spans="1:59" ht="15.75" customHeight="1" x14ac:dyDescent="0.25">
      <c r="A179" s="212"/>
      <c r="B179" s="212"/>
      <c r="C179" s="212"/>
      <c r="D179" s="212"/>
      <c r="E179" s="216"/>
      <c r="F179" s="216"/>
      <c r="G179" s="269"/>
      <c r="H179" s="216"/>
      <c r="I179" s="218"/>
      <c r="J179" s="212"/>
      <c r="K179" s="212"/>
      <c r="L179" s="212"/>
      <c r="M179" s="212"/>
      <c r="N179" s="212"/>
      <c r="O179" s="217"/>
      <c r="P179" s="217"/>
      <c r="Q179" s="212"/>
      <c r="R179" s="212"/>
      <c r="S179" s="217"/>
      <c r="T179" s="217"/>
      <c r="U179" s="212"/>
      <c r="V179" s="212"/>
      <c r="W179" s="212"/>
      <c r="X179" s="212"/>
      <c r="Y179" s="212"/>
      <c r="Z179" s="212"/>
      <c r="AA179" s="219"/>
      <c r="AB179" s="216"/>
      <c r="AC179" s="216"/>
      <c r="AD179" s="216"/>
      <c r="AE179" s="216"/>
      <c r="AF179" s="212"/>
      <c r="AG179" s="212"/>
      <c r="AH179" s="212"/>
      <c r="AI179" s="216"/>
      <c r="AJ179" s="216"/>
      <c r="AK179" s="216"/>
      <c r="AL179" s="216"/>
      <c r="AM179" s="216"/>
      <c r="AN179" s="216"/>
      <c r="AO179" s="216"/>
      <c r="AP179" s="217"/>
      <c r="AQ179" s="212"/>
      <c r="AR179" s="212"/>
      <c r="AS179" s="212"/>
      <c r="AT179" s="212"/>
      <c r="AU179" s="212"/>
      <c r="AV179" s="212"/>
      <c r="AW179" s="212"/>
      <c r="AX179" s="212"/>
      <c r="AY179" s="212"/>
      <c r="AZ179" s="212"/>
      <c r="BA179" s="212"/>
      <c r="BB179" s="212"/>
      <c r="BC179" s="212"/>
      <c r="BD179" s="212"/>
      <c r="BE179" s="212"/>
      <c r="BF179" s="216"/>
      <c r="BG179" s="212"/>
    </row>
    <row r="180" spans="1:59" ht="15.75" customHeight="1" x14ac:dyDescent="0.25">
      <c r="A180" s="212"/>
      <c r="B180" s="212"/>
      <c r="C180" s="212"/>
      <c r="D180" s="212"/>
      <c r="E180" s="216"/>
      <c r="F180" s="216"/>
      <c r="G180" s="269"/>
      <c r="H180" s="216"/>
      <c r="I180" s="218"/>
      <c r="J180" s="212"/>
      <c r="K180" s="212"/>
      <c r="L180" s="212"/>
      <c r="M180" s="212"/>
      <c r="N180" s="212"/>
      <c r="O180" s="217"/>
      <c r="P180" s="217"/>
      <c r="Q180" s="212"/>
      <c r="R180" s="212"/>
      <c r="S180" s="217"/>
      <c r="T180" s="217"/>
      <c r="U180" s="212"/>
      <c r="V180" s="212"/>
      <c r="W180" s="212"/>
      <c r="X180" s="212"/>
      <c r="Y180" s="212"/>
      <c r="Z180" s="212"/>
      <c r="AA180" s="219"/>
      <c r="AB180" s="216"/>
      <c r="AC180" s="216"/>
      <c r="AD180" s="216"/>
      <c r="AE180" s="216"/>
      <c r="AF180" s="212"/>
      <c r="AG180" s="212"/>
      <c r="AH180" s="212"/>
      <c r="AI180" s="216"/>
      <c r="AJ180" s="216"/>
      <c r="AK180" s="216"/>
      <c r="AL180" s="216"/>
      <c r="AM180" s="216"/>
      <c r="AN180" s="216"/>
      <c r="AO180" s="216"/>
      <c r="AP180" s="217"/>
      <c r="AQ180" s="212"/>
      <c r="AR180" s="212"/>
      <c r="AS180" s="212"/>
      <c r="AT180" s="212"/>
      <c r="AU180" s="212"/>
      <c r="AV180" s="212"/>
      <c r="AW180" s="212"/>
      <c r="AX180" s="212"/>
      <c r="AY180" s="212"/>
      <c r="AZ180" s="212"/>
      <c r="BA180" s="212"/>
      <c r="BB180" s="212"/>
      <c r="BC180" s="212"/>
      <c r="BD180" s="212"/>
      <c r="BE180" s="212"/>
      <c r="BF180" s="216"/>
      <c r="BG180" s="212"/>
    </row>
    <row r="181" spans="1:59" ht="15.75" customHeight="1" x14ac:dyDescent="0.25">
      <c r="A181" s="212"/>
      <c r="B181" s="212"/>
      <c r="C181" s="212"/>
      <c r="D181" s="212"/>
      <c r="E181" s="216"/>
      <c r="F181" s="216"/>
      <c r="G181" s="269"/>
      <c r="H181" s="216"/>
      <c r="I181" s="218"/>
      <c r="J181" s="212"/>
      <c r="K181" s="212"/>
      <c r="L181" s="212"/>
      <c r="M181" s="212"/>
      <c r="N181" s="212"/>
      <c r="O181" s="217"/>
      <c r="P181" s="217"/>
      <c r="Q181" s="212"/>
      <c r="R181" s="212"/>
      <c r="S181" s="217"/>
      <c r="T181" s="217"/>
      <c r="U181" s="212"/>
      <c r="V181" s="212"/>
      <c r="W181" s="212"/>
      <c r="X181" s="212"/>
      <c r="Y181" s="212"/>
      <c r="Z181" s="212"/>
      <c r="AA181" s="219"/>
      <c r="AB181" s="216"/>
      <c r="AC181" s="216"/>
      <c r="AD181" s="216"/>
      <c r="AE181" s="216"/>
      <c r="AF181" s="212"/>
      <c r="AG181" s="212"/>
      <c r="AH181" s="212"/>
      <c r="AI181" s="216"/>
      <c r="AJ181" s="216"/>
      <c r="AK181" s="216"/>
      <c r="AL181" s="216"/>
      <c r="AM181" s="216"/>
      <c r="AN181" s="216"/>
      <c r="AO181" s="216"/>
      <c r="AP181" s="217"/>
      <c r="AQ181" s="212"/>
      <c r="AR181" s="212"/>
      <c r="AS181" s="212"/>
      <c r="AT181" s="212"/>
      <c r="AU181" s="212"/>
      <c r="AV181" s="212"/>
      <c r="AW181" s="212"/>
      <c r="AX181" s="212"/>
      <c r="AY181" s="212"/>
      <c r="AZ181" s="212"/>
      <c r="BA181" s="212"/>
      <c r="BB181" s="212"/>
      <c r="BC181" s="212"/>
      <c r="BD181" s="212"/>
      <c r="BE181" s="212"/>
      <c r="BF181" s="216"/>
      <c r="BG181" s="212"/>
    </row>
    <row r="182" spans="1:59" ht="15.75" customHeight="1" x14ac:dyDescent="0.25">
      <c r="A182" s="212"/>
      <c r="B182" s="212"/>
      <c r="C182" s="212"/>
      <c r="D182" s="212"/>
      <c r="E182" s="216"/>
      <c r="F182" s="216"/>
      <c r="G182" s="269"/>
      <c r="H182" s="216"/>
      <c r="I182" s="218"/>
      <c r="J182" s="212"/>
      <c r="K182" s="212"/>
      <c r="L182" s="212"/>
      <c r="M182" s="212"/>
      <c r="N182" s="212"/>
      <c r="O182" s="217"/>
      <c r="P182" s="217"/>
      <c r="Q182" s="212"/>
      <c r="R182" s="212"/>
      <c r="S182" s="217"/>
      <c r="T182" s="217"/>
      <c r="U182" s="212"/>
      <c r="V182" s="212"/>
      <c r="W182" s="212"/>
      <c r="X182" s="212"/>
      <c r="Y182" s="212"/>
      <c r="Z182" s="212"/>
      <c r="AA182" s="219"/>
      <c r="AB182" s="216"/>
      <c r="AC182" s="216"/>
      <c r="AD182" s="216"/>
      <c r="AE182" s="216"/>
      <c r="AF182" s="212"/>
      <c r="AG182" s="212"/>
      <c r="AH182" s="212"/>
      <c r="AI182" s="216"/>
      <c r="AJ182" s="216"/>
      <c r="AK182" s="216"/>
      <c r="AL182" s="216"/>
      <c r="AM182" s="216"/>
      <c r="AN182" s="216"/>
      <c r="AO182" s="216"/>
      <c r="AP182" s="217"/>
      <c r="AQ182" s="212"/>
      <c r="AR182" s="212"/>
      <c r="AS182" s="212"/>
      <c r="AT182" s="212"/>
      <c r="AU182" s="212"/>
      <c r="AV182" s="212"/>
      <c r="AW182" s="212"/>
      <c r="AX182" s="212"/>
      <c r="AY182" s="212"/>
      <c r="AZ182" s="212"/>
      <c r="BA182" s="212"/>
      <c r="BB182" s="212"/>
      <c r="BC182" s="212"/>
      <c r="BD182" s="212"/>
      <c r="BE182" s="212"/>
      <c r="BF182" s="216"/>
      <c r="BG182" s="212"/>
    </row>
    <row r="183" spans="1:59" ht="15.75" customHeight="1" x14ac:dyDescent="0.25">
      <c r="A183" s="212"/>
      <c r="B183" s="212"/>
      <c r="C183" s="212"/>
      <c r="D183" s="212"/>
      <c r="E183" s="216"/>
      <c r="F183" s="216"/>
      <c r="G183" s="269"/>
      <c r="H183" s="216"/>
      <c r="I183" s="218"/>
      <c r="J183" s="212"/>
      <c r="K183" s="212"/>
      <c r="L183" s="212"/>
      <c r="M183" s="212"/>
      <c r="N183" s="212"/>
      <c r="O183" s="217"/>
      <c r="P183" s="217"/>
      <c r="Q183" s="212"/>
      <c r="R183" s="212"/>
      <c r="S183" s="217"/>
      <c r="T183" s="217"/>
      <c r="U183" s="212"/>
      <c r="V183" s="212"/>
      <c r="W183" s="212"/>
      <c r="X183" s="212"/>
      <c r="Y183" s="212"/>
      <c r="Z183" s="212"/>
      <c r="AA183" s="219"/>
      <c r="AB183" s="216"/>
      <c r="AC183" s="216"/>
      <c r="AD183" s="216"/>
      <c r="AE183" s="216"/>
      <c r="AF183" s="212"/>
      <c r="AG183" s="212"/>
      <c r="AH183" s="212"/>
      <c r="AI183" s="216"/>
      <c r="AJ183" s="216"/>
      <c r="AK183" s="216"/>
      <c r="AL183" s="216"/>
      <c r="AM183" s="216"/>
      <c r="AN183" s="216"/>
      <c r="AO183" s="216"/>
      <c r="AP183" s="217"/>
      <c r="AQ183" s="212"/>
      <c r="AR183" s="212"/>
      <c r="AS183" s="212"/>
      <c r="AT183" s="212"/>
      <c r="AU183" s="212"/>
      <c r="AV183" s="212"/>
      <c r="AW183" s="212"/>
      <c r="AX183" s="212"/>
      <c r="AY183" s="212"/>
      <c r="AZ183" s="212"/>
      <c r="BA183" s="212"/>
      <c r="BB183" s="212"/>
      <c r="BC183" s="212"/>
      <c r="BD183" s="212"/>
      <c r="BE183" s="212"/>
      <c r="BF183" s="216"/>
      <c r="BG183" s="212"/>
    </row>
    <row r="184" spans="1:59" ht="15.75" customHeight="1" x14ac:dyDescent="0.25">
      <c r="A184" s="212"/>
      <c r="B184" s="212"/>
      <c r="C184" s="212"/>
      <c r="D184" s="212"/>
      <c r="E184" s="216"/>
      <c r="F184" s="216"/>
      <c r="G184" s="269"/>
      <c r="H184" s="216"/>
      <c r="I184" s="218"/>
      <c r="J184" s="212"/>
      <c r="K184" s="212"/>
      <c r="L184" s="212"/>
      <c r="M184" s="212"/>
      <c r="N184" s="212"/>
      <c r="O184" s="217"/>
      <c r="P184" s="217"/>
      <c r="Q184" s="212"/>
      <c r="R184" s="212"/>
      <c r="S184" s="217"/>
      <c r="T184" s="217"/>
      <c r="U184" s="212"/>
      <c r="V184" s="212"/>
      <c r="W184" s="212"/>
      <c r="X184" s="212"/>
      <c r="Y184" s="212"/>
      <c r="Z184" s="212"/>
      <c r="AA184" s="219"/>
      <c r="AB184" s="216"/>
      <c r="AC184" s="216"/>
      <c r="AD184" s="216"/>
      <c r="AE184" s="216"/>
      <c r="AF184" s="212"/>
      <c r="AG184" s="212"/>
      <c r="AH184" s="212"/>
      <c r="AI184" s="216"/>
      <c r="AJ184" s="216"/>
      <c r="AK184" s="216"/>
      <c r="AL184" s="216"/>
      <c r="AM184" s="216"/>
      <c r="AN184" s="216"/>
      <c r="AO184" s="216"/>
      <c r="AP184" s="217"/>
      <c r="AQ184" s="212"/>
      <c r="AR184" s="212"/>
      <c r="AS184" s="212"/>
      <c r="AT184" s="212"/>
      <c r="AU184" s="212"/>
      <c r="AV184" s="212"/>
      <c r="AW184" s="212"/>
      <c r="AX184" s="212"/>
      <c r="AY184" s="212"/>
      <c r="AZ184" s="212"/>
      <c r="BA184" s="212"/>
      <c r="BB184" s="212"/>
      <c r="BC184" s="212"/>
      <c r="BD184" s="212"/>
      <c r="BE184" s="212"/>
      <c r="BF184" s="216"/>
      <c r="BG184" s="212"/>
    </row>
    <row r="185" spans="1:59" ht="15.75" customHeight="1" x14ac:dyDescent="0.25">
      <c r="A185" s="212"/>
      <c r="B185" s="212"/>
      <c r="C185" s="212"/>
      <c r="D185" s="212"/>
      <c r="E185" s="216"/>
      <c r="F185" s="216"/>
      <c r="G185" s="269"/>
      <c r="H185" s="216"/>
      <c r="I185" s="218"/>
      <c r="J185" s="212"/>
      <c r="K185" s="212"/>
      <c r="L185" s="212"/>
      <c r="M185" s="212"/>
      <c r="N185" s="212"/>
      <c r="O185" s="217"/>
      <c r="P185" s="217"/>
      <c r="Q185" s="212"/>
      <c r="R185" s="212"/>
      <c r="S185" s="217"/>
      <c r="T185" s="217"/>
      <c r="U185" s="212"/>
      <c r="V185" s="212"/>
      <c r="W185" s="212"/>
      <c r="X185" s="212"/>
      <c r="Y185" s="212"/>
      <c r="Z185" s="212"/>
      <c r="AA185" s="219"/>
      <c r="AB185" s="216"/>
      <c r="AC185" s="216"/>
      <c r="AD185" s="216"/>
      <c r="AE185" s="216"/>
      <c r="AF185" s="212"/>
      <c r="AG185" s="212"/>
      <c r="AH185" s="212"/>
      <c r="AI185" s="216"/>
      <c r="AJ185" s="216"/>
      <c r="AK185" s="216"/>
      <c r="AL185" s="216"/>
      <c r="AM185" s="216"/>
      <c r="AN185" s="216"/>
      <c r="AO185" s="216"/>
      <c r="AP185" s="217"/>
      <c r="AQ185" s="212"/>
      <c r="AR185" s="212"/>
      <c r="AS185" s="212"/>
      <c r="AT185" s="212"/>
      <c r="AU185" s="212"/>
      <c r="AV185" s="212"/>
      <c r="AW185" s="212"/>
      <c r="AX185" s="212"/>
      <c r="AY185" s="212"/>
      <c r="AZ185" s="212"/>
      <c r="BA185" s="212"/>
      <c r="BB185" s="212"/>
      <c r="BC185" s="212"/>
      <c r="BD185" s="212"/>
      <c r="BE185" s="212"/>
      <c r="BF185" s="216"/>
      <c r="BG185" s="212"/>
    </row>
    <row r="186" spans="1:59" ht="15.75" customHeight="1" x14ac:dyDescent="0.25">
      <c r="A186" s="212"/>
      <c r="B186" s="212"/>
      <c r="C186" s="212"/>
      <c r="D186" s="212"/>
      <c r="E186" s="216"/>
      <c r="F186" s="216"/>
      <c r="G186" s="269"/>
      <c r="H186" s="216"/>
      <c r="I186" s="218"/>
      <c r="J186" s="212"/>
      <c r="K186" s="212"/>
      <c r="L186" s="212"/>
      <c r="M186" s="212"/>
      <c r="N186" s="212"/>
      <c r="O186" s="217"/>
      <c r="P186" s="217"/>
      <c r="Q186" s="212"/>
      <c r="R186" s="212"/>
      <c r="S186" s="217"/>
      <c r="T186" s="217"/>
      <c r="U186" s="212"/>
      <c r="V186" s="212"/>
      <c r="W186" s="212"/>
      <c r="X186" s="212"/>
      <c r="Y186" s="212"/>
      <c r="Z186" s="212"/>
      <c r="AA186" s="219"/>
      <c r="AB186" s="216"/>
      <c r="AC186" s="216"/>
      <c r="AD186" s="216"/>
      <c r="AE186" s="216"/>
      <c r="AF186" s="212"/>
      <c r="AG186" s="212"/>
      <c r="AH186" s="212"/>
      <c r="AI186" s="216"/>
      <c r="AJ186" s="216"/>
      <c r="AK186" s="216"/>
      <c r="AL186" s="216"/>
      <c r="AM186" s="216"/>
      <c r="AN186" s="216"/>
      <c r="AO186" s="216"/>
      <c r="AP186" s="217"/>
      <c r="AQ186" s="212"/>
      <c r="AR186" s="212"/>
      <c r="AS186" s="212"/>
      <c r="AT186" s="212"/>
      <c r="AU186" s="212"/>
      <c r="AV186" s="212"/>
      <c r="AW186" s="212"/>
      <c r="AX186" s="212"/>
      <c r="AY186" s="212"/>
      <c r="AZ186" s="212"/>
      <c r="BA186" s="212"/>
      <c r="BB186" s="212"/>
      <c r="BC186" s="212"/>
      <c r="BD186" s="212"/>
      <c r="BE186" s="212"/>
      <c r="BF186" s="216"/>
      <c r="BG186" s="212"/>
    </row>
    <row r="187" spans="1:59" ht="15.75" customHeight="1" x14ac:dyDescent="0.25">
      <c r="A187" s="212"/>
      <c r="B187" s="212"/>
      <c r="C187" s="212"/>
      <c r="D187" s="212"/>
      <c r="E187" s="216"/>
      <c r="F187" s="216"/>
      <c r="G187" s="269"/>
      <c r="H187" s="216"/>
      <c r="I187" s="218"/>
      <c r="J187" s="212"/>
      <c r="K187" s="212"/>
      <c r="L187" s="212"/>
      <c r="M187" s="212"/>
      <c r="N187" s="212"/>
      <c r="O187" s="217"/>
      <c r="P187" s="217"/>
      <c r="Q187" s="212"/>
      <c r="R187" s="212"/>
      <c r="S187" s="217"/>
      <c r="T187" s="217"/>
      <c r="U187" s="212"/>
      <c r="V187" s="212"/>
      <c r="W187" s="212"/>
      <c r="X187" s="212"/>
      <c r="Y187" s="212"/>
      <c r="Z187" s="212"/>
      <c r="AA187" s="219"/>
      <c r="AB187" s="216"/>
      <c r="AC187" s="216"/>
      <c r="AD187" s="216"/>
      <c r="AE187" s="216"/>
      <c r="AF187" s="212"/>
      <c r="AG187" s="212"/>
      <c r="AH187" s="212"/>
      <c r="AI187" s="216"/>
      <c r="AJ187" s="216"/>
      <c r="AK187" s="216"/>
      <c r="AL187" s="216"/>
      <c r="AM187" s="216"/>
      <c r="AN187" s="216"/>
      <c r="AO187" s="216"/>
      <c r="AP187" s="217"/>
      <c r="AQ187" s="212"/>
      <c r="AR187" s="212"/>
      <c r="AS187" s="212"/>
      <c r="AT187" s="212"/>
      <c r="AU187" s="212"/>
      <c r="AV187" s="212"/>
      <c r="AW187" s="212"/>
      <c r="AX187" s="212"/>
      <c r="AY187" s="212"/>
      <c r="AZ187" s="212"/>
      <c r="BA187" s="212"/>
      <c r="BB187" s="212"/>
      <c r="BC187" s="212"/>
      <c r="BD187" s="212"/>
      <c r="BE187" s="212"/>
      <c r="BF187" s="216"/>
      <c r="BG187" s="212"/>
    </row>
    <row r="188" spans="1:59" ht="15.75" customHeight="1" x14ac:dyDescent="0.25">
      <c r="A188" s="212"/>
      <c r="B188" s="212"/>
      <c r="C188" s="212"/>
      <c r="D188" s="212"/>
      <c r="E188" s="216"/>
      <c r="F188" s="216"/>
      <c r="G188" s="269"/>
      <c r="H188" s="216"/>
      <c r="I188" s="218"/>
      <c r="J188" s="212"/>
      <c r="K188" s="212"/>
      <c r="L188" s="212"/>
      <c r="M188" s="212"/>
      <c r="N188" s="212"/>
      <c r="O188" s="217"/>
      <c r="P188" s="217"/>
      <c r="Q188" s="212"/>
      <c r="R188" s="212"/>
      <c r="S188" s="217"/>
      <c r="T188" s="217"/>
      <c r="U188" s="212"/>
      <c r="V188" s="212"/>
      <c r="W188" s="212"/>
      <c r="X188" s="212"/>
      <c r="Y188" s="212"/>
      <c r="Z188" s="212"/>
      <c r="AA188" s="219"/>
      <c r="AB188" s="216"/>
      <c r="AC188" s="216"/>
      <c r="AD188" s="216"/>
      <c r="AE188" s="216"/>
      <c r="AF188" s="212"/>
      <c r="AG188" s="212"/>
      <c r="AH188" s="212"/>
      <c r="AI188" s="216"/>
      <c r="AJ188" s="216"/>
      <c r="AK188" s="216"/>
      <c r="AL188" s="216"/>
      <c r="AM188" s="216"/>
      <c r="AN188" s="216"/>
      <c r="AO188" s="216"/>
      <c r="AP188" s="217"/>
      <c r="AQ188" s="212"/>
      <c r="AR188" s="212"/>
      <c r="AS188" s="212"/>
      <c r="AT188" s="212"/>
      <c r="AU188" s="212"/>
      <c r="AV188" s="212"/>
      <c r="AW188" s="212"/>
      <c r="AX188" s="212"/>
      <c r="AY188" s="212"/>
      <c r="AZ188" s="212"/>
      <c r="BA188" s="212"/>
      <c r="BB188" s="212"/>
      <c r="BC188" s="212"/>
      <c r="BD188" s="212"/>
      <c r="BE188" s="212"/>
      <c r="BF188" s="216"/>
      <c r="BG188" s="212"/>
    </row>
    <row r="189" spans="1:59" ht="15.75" customHeight="1" x14ac:dyDescent="0.25">
      <c r="A189" s="212"/>
      <c r="B189" s="212"/>
      <c r="C189" s="212"/>
      <c r="D189" s="212"/>
      <c r="E189" s="216"/>
      <c r="F189" s="216"/>
      <c r="G189" s="269"/>
      <c r="H189" s="216"/>
      <c r="I189" s="218"/>
      <c r="J189" s="212"/>
      <c r="K189" s="212"/>
      <c r="L189" s="212"/>
      <c r="M189" s="212"/>
      <c r="N189" s="212"/>
      <c r="O189" s="217"/>
      <c r="P189" s="217"/>
      <c r="Q189" s="212"/>
      <c r="R189" s="212"/>
      <c r="S189" s="217"/>
      <c r="T189" s="217"/>
      <c r="U189" s="212"/>
      <c r="V189" s="212"/>
      <c r="W189" s="212"/>
      <c r="X189" s="212"/>
      <c r="Y189" s="212"/>
      <c r="Z189" s="212"/>
      <c r="AA189" s="219"/>
      <c r="AB189" s="216"/>
      <c r="AC189" s="216"/>
      <c r="AD189" s="216"/>
      <c r="AE189" s="216"/>
      <c r="AF189" s="212"/>
      <c r="AG189" s="212"/>
      <c r="AH189" s="212"/>
      <c r="AI189" s="216"/>
      <c r="AJ189" s="216"/>
      <c r="AK189" s="216"/>
      <c r="AL189" s="216"/>
      <c r="AM189" s="216"/>
      <c r="AN189" s="216"/>
      <c r="AO189" s="216"/>
      <c r="AP189" s="217"/>
      <c r="AQ189" s="212"/>
      <c r="AR189" s="212"/>
      <c r="AS189" s="212"/>
      <c r="AT189" s="212"/>
      <c r="AU189" s="212"/>
      <c r="AV189" s="212"/>
      <c r="AW189" s="212"/>
      <c r="AX189" s="212"/>
      <c r="AY189" s="212"/>
      <c r="AZ189" s="212"/>
      <c r="BA189" s="212"/>
      <c r="BB189" s="212"/>
      <c r="BC189" s="212"/>
      <c r="BD189" s="212"/>
      <c r="BE189" s="212"/>
      <c r="BF189" s="216"/>
      <c r="BG189" s="212"/>
    </row>
    <row r="190" spans="1:59" ht="15.75" customHeight="1" x14ac:dyDescent="0.25">
      <c r="A190" s="212"/>
      <c r="B190" s="212"/>
      <c r="C190" s="212"/>
      <c r="D190" s="212"/>
      <c r="E190" s="216"/>
      <c r="F190" s="216"/>
      <c r="G190" s="269"/>
      <c r="H190" s="216"/>
      <c r="I190" s="218"/>
      <c r="J190" s="212"/>
      <c r="K190" s="212"/>
      <c r="L190" s="212"/>
      <c r="M190" s="212"/>
      <c r="N190" s="212"/>
      <c r="O190" s="217"/>
      <c r="P190" s="217"/>
      <c r="Q190" s="212"/>
      <c r="R190" s="212"/>
      <c r="S190" s="217"/>
      <c r="T190" s="217"/>
      <c r="U190" s="212"/>
      <c r="V190" s="212"/>
      <c r="W190" s="212"/>
      <c r="X190" s="212"/>
      <c r="Y190" s="212"/>
      <c r="Z190" s="212"/>
      <c r="AA190" s="219"/>
      <c r="AB190" s="216"/>
      <c r="AC190" s="216"/>
      <c r="AD190" s="216"/>
      <c r="AE190" s="216"/>
      <c r="AF190" s="212"/>
      <c r="AG190" s="212"/>
      <c r="AH190" s="212"/>
      <c r="AI190" s="216"/>
      <c r="AJ190" s="216"/>
      <c r="AK190" s="216"/>
      <c r="AL190" s="216"/>
      <c r="AM190" s="216"/>
      <c r="AN190" s="216"/>
      <c r="AO190" s="216"/>
      <c r="AP190" s="217"/>
      <c r="AQ190" s="212"/>
      <c r="AR190" s="212"/>
      <c r="AS190" s="212"/>
      <c r="AT190" s="212"/>
      <c r="AU190" s="212"/>
      <c r="AV190" s="212"/>
      <c r="AW190" s="212"/>
      <c r="AX190" s="212"/>
      <c r="AY190" s="212"/>
      <c r="AZ190" s="212"/>
      <c r="BA190" s="212"/>
      <c r="BB190" s="212"/>
      <c r="BC190" s="212"/>
      <c r="BD190" s="212"/>
      <c r="BE190" s="212"/>
      <c r="BF190" s="216"/>
      <c r="BG190" s="212"/>
    </row>
    <row r="191" spans="1:59" ht="15.75" customHeight="1" x14ac:dyDescent="0.25">
      <c r="A191" s="212"/>
      <c r="B191" s="212"/>
      <c r="C191" s="212"/>
      <c r="D191" s="212"/>
      <c r="E191" s="216"/>
      <c r="F191" s="216"/>
      <c r="G191" s="269"/>
      <c r="H191" s="216"/>
      <c r="I191" s="218"/>
      <c r="J191" s="212"/>
      <c r="K191" s="212"/>
      <c r="L191" s="212"/>
      <c r="M191" s="212"/>
      <c r="N191" s="212"/>
      <c r="O191" s="217"/>
      <c r="P191" s="217"/>
      <c r="Q191" s="212"/>
      <c r="R191" s="212"/>
      <c r="S191" s="217"/>
      <c r="T191" s="217"/>
      <c r="U191" s="212"/>
      <c r="V191" s="212"/>
      <c r="W191" s="212"/>
      <c r="X191" s="212"/>
      <c r="Y191" s="212"/>
      <c r="Z191" s="212"/>
      <c r="AA191" s="219"/>
      <c r="AB191" s="216"/>
      <c r="AC191" s="216"/>
      <c r="AD191" s="216"/>
      <c r="AE191" s="216"/>
      <c r="AF191" s="212"/>
      <c r="AG191" s="212"/>
      <c r="AH191" s="212"/>
      <c r="AI191" s="216"/>
      <c r="AJ191" s="216"/>
      <c r="AK191" s="216"/>
      <c r="AL191" s="216"/>
      <c r="AM191" s="216"/>
      <c r="AN191" s="216"/>
      <c r="AO191" s="216"/>
      <c r="AP191" s="217"/>
      <c r="AQ191" s="212"/>
      <c r="AR191" s="212"/>
      <c r="AS191" s="212"/>
      <c r="AT191" s="212"/>
      <c r="AU191" s="212"/>
      <c r="AV191" s="212"/>
      <c r="AW191" s="212"/>
      <c r="AX191" s="212"/>
      <c r="AY191" s="212"/>
      <c r="AZ191" s="212"/>
      <c r="BA191" s="212"/>
      <c r="BB191" s="212"/>
      <c r="BC191" s="212"/>
      <c r="BD191" s="212"/>
      <c r="BE191" s="212"/>
      <c r="BF191" s="216"/>
      <c r="BG191" s="212"/>
    </row>
    <row r="192" spans="1:59" ht="15.75" customHeight="1" x14ac:dyDescent="0.25">
      <c r="A192" s="212"/>
      <c r="B192" s="212"/>
      <c r="C192" s="212"/>
      <c r="D192" s="212"/>
      <c r="E192" s="216"/>
      <c r="F192" s="216"/>
      <c r="G192" s="269"/>
      <c r="H192" s="216"/>
      <c r="I192" s="218"/>
      <c r="J192" s="212"/>
      <c r="K192" s="212"/>
      <c r="L192" s="212"/>
      <c r="M192" s="212"/>
      <c r="N192" s="212"/>
      <c r="O192" s="217"/>
      <c r="P192" s="217"/>
      <c r="Q192" s="212"/>
      <c r="R192" s="212"/>
      <c r="S192" s="217"/>
      <c r="T192" s="217"/>
      <c r="U192" s="212"/>
      <c r="V192" s="212"/>
      <c r="W192" s="212"/>
      <c r="X192" s="212"/>
      <c r="Y192" s="212"/>
      <c r="Z192" s="212"/>
      <c r="AA192" s="219"/>
      <c r="AB192" s="216"/>
      <c r="AC192" s="216"/>
      <c r="AD192" s="216"/>
      <c r="AE192" s="216"/>
      <c r="AF192" s="212"/>
      <c r="AG192" s="212"/>
      <c r="AH192" s="212"/>
      <c r="AI192" s="216"/>
      <c r="AJ192" s="216"/>
      <c r="AK192" s="216"/>
      <c r="AL192" s="216"/>
      <c r="AM192" s="216"/>
      <c r="AN192" s="216"/>
      <c r="AO192" s="216"/>
      <c r="AP192" s="217"/>
      <c r="AQ192" s="212"/>
      <c r="AR192" s="212"/>
      <c r="AS192" s="212"/>
      <c r="AT192" s="212"/>
      <c r="AU192" s="212"/>
      <c r="AV192" s="212"/>
      <c r="AW192" s="212"/>
      <c r="AX192" s="212"/>
      <c r="AY192" s="212"/>
      <c r="AZ192" s="212"/>
      <c r="BA192" s="212"/>
      <c r="BB192" s="212"/>
      <c r="BC192" s="212"/>
      <c r="BD192" s="212"/>
      <c r="BE192" s="212"/>
      <c r="BF192" s="216"/>
      <c r="BG192" s="212"/>
    </row>
    <row r="193" spans="1:59" ht="15.75" customHeight="1" x14ac:dyDescent="0.25">
      <c r="A193" s="212"/>
      <c r="B193" s="212"/>
      <c r="C193" s="212"/>
      <c r="D193" s="212"/>
      <c r="E193" s="216"/>
      <c r="F193" s="216"/>
      <c r="G193" s="269"/>
      <c r="H193" s="216"/>
      <c r="I193" s="218"/>
      <c r="J193" s="212"/>
      <c r="K193" s="212"/>
      <c r="L193" s="212"/>
      <c r="M193" s="212"/>
      <c r="N193" s="212"/>
      <c r="O193" s="217"/>
      <c r="P193" s="217"/>
      <c r="Q193" s="212"/>
      <c r="R193" s="212"/>
      <c r="S193" s="217"/>
      <c r="T193" s="217"/>
      <c r="U193" s="212"/>
      <c r="V193" s="212"/>
      <c r="W193" s="212"/>
      <c r="X193" s="212"/>
      <c r="Y193" s="212"/>
      <c r="Z193" s="212"/>
      <c r="AA193" s="219"/>
      <c r="AB193" s="216"/>
      <c r="AC193" s="216"/>
      <c r="AD193" s="216"/>
      <c r="AE193" s="216"/>
      <c r="AF193" s="212"/>
      <c r="AG193" s="212"/>
      <c r="AH193" s="212"/>
      <c r="AI193" s="216"/>
      <c r="AJ193" s="216"/>
      <c r="AK193" s="216"/>
      <c r="AL193" s="216"/>
      <c r="AM193" s="216"/>
      <c r="AN193" s="216"/>
      <c r="AO193" s="216"/>
      <c r="AP193" s="217"/>
      <c r="AQ193" s="212"/>
      <c r="AR193" s="212"/>
      <c r="AS193" s="212"/>
      <c r="AT193" s="212"/>
      <c r="AU193" s="212"/>
      <c r="AV193" s="212"/>
      <c r="AW193" s="212"/>
      <c r="AX193" s="212"/>
      <c r="AY193" s="212"/>
      <c r="AZ193" s="212"/>
      <c r="BA193" s="212"/>
      <c r="BB193" s="212"/>
      <c r="BC193" s="212"/>
      <c r="BD193" s="212"/>
      <c r="BE193" s="212"/>
      <c r="BF193" s="216"/>
      <c r="BG193" s="212"/>
    </row>
    <row r="194" spans="1:59" ht="15.75" customHeight="1" x14ac:dyDescent="0.25">
      <c r="A194" s="212"/>
      <c r="B194" s="212"/>
      <c r="C194" s="212"/>
      <c r="D194" s="212"/>
      <c r="E194" s="216"/>
      <c r="F194" s="216"/>
      <c r="G194" s="269"/>
      <c r="H194" s="216"/>
      <c r="I194" s="218"/>
      <c r="J194" s="212"/>
      <c r="K194" s="212"/>
      <c r="L194" s="212"/>
      <c r="M194" s="212"/>
      <c r="N194" s="212"/>
      <c r="O194" s="217"/>
      <c r="P194" s="217"/>
      <c r="Q194" s="212"/>
      <c r="R194" s="212"/>
      <c r="S194" s="217"/>
      <c r="T194" s="217"/>
      <c r="U194" s="212"/>
      <c r="V194" s="212"/>
      <c r="W194" s="212"/>
      <c r="X194" s="212"/>
      <c r="Y194" s="212"/>
      <c r="Z194" s="212"/>
      <c r="AA194" s="219"/>
      <c r="AB194" s="216"/>
      <c r="AC194" s="216"/>
      <c r="AD194" s="216"/>
      <c r="AE194" s="216"/>
      <c r="AF194" s="212"/>
      <c r="AG194" s="212"/>
      <c r="AH194" s="212"/>
      <c r="AI194" s="216"/>
      <c r="AJ194" s="216"/>
      <c r="AK194" s="216"/>
      <c r="AL194" s="216"/>
      <c r="AM194" s="216"/>
      <c r="AN194" s="216"/>
      <c r="AO194" s="216"/>
      <c r="AP194" s="217"/>
      <c r="AQ194" s="212"/>
      <c r="AR194" s="212"/>
      <c r="AS194" s="212"/>
      <c r="AT194" s="212"/>
      <c r="AU194" s="212"/>
      <c r="AV194" s="212"/>
      <c r="AW194" s="212"/>
      <c r="AX194" s="212"/>
      <c r="AY194" s="212"/>
      <c r="AZ194" s="212"/>
      <c r="BA194" s="212"/>
      <c r="BB194" s="212"/>
      <c r="BC194" s="212"/>
      <c r="BD194" s="212"/>
      <c r="BE194" s="212"/>
      <c r="BF194" s="216"/>
      <c r="BG194" s="212"/>
    </row>
    <row r="195" spans="1:59" ht="15.75" customHeight="1" x14ac:dyDescent="0.25">
      <c r="A195" s="212"/>
      <c r="B195" s="212"/>
      <c r="C195" s="212"/>
      <c r="D195" s="212"/>
      <c r="E195" s="216"/>
      <c r="F195" s="216"/>
      <c r="G195" s="269"/>
      <c r="H195" s="216"/>
      <c r="I195" s="218"/>
      <c r="J195" s="212"/>
      <c r="K195" s="212"/>
      <c r="L195" s="212"/>
      <c r="M195" s="212"/>
      <c r="N195" s="212"/>
      <c r="O195" s="217"/>
      <c r="P195" s="217"/>
      <c r="Q195" s="212"/>
      <c r="R195" s="212"/>
      <c r="S195" s="217"/>
      <c r="T195" s="217"/>
      <c r="U195" s="212"/>
      <c r="V195" s="212"/>
      <c r="W195" s="212"/>
      <c r="X195" s="212"/>
      <c r="Y195" s="212"/>
      <c r="Z195" s="212"/>
      <c r="AA195" s="219"/>
      <c r="AB195" s="216"/>
      <c r="AC195" s="216"/>
      <c r="AD195" s="216"/>
      <c r="AE195" s="216"/>
      <c r="AF195" s="212"/>
      <c r="AG195" s="212"/>
      <c r="AH195" s="212"/>
      <c r="AI195" s="216"/>
      <c r="AJ195" s="216"/>
      <c r="AK195" s="216"/>
      <c r="AL195" s="216"/>
      <c r="AM195" s="216"/>
      <c r="AN195" s="216"/>
      <c r="AO195" s="216"/>
      <c r="AP195" s="217"/>
      <c r="AQ195" s="212"/>
      <c r="AR195" s="212"/>
      <c r="AS195" s="212"/>
      <c r="AT195" s="212"/>
      <c r="AU195" s="212"/>
      <c r="AV195" s="212"/>
      <c r="AW195" s="212"/>
      <c r="AX195" s="212"/>
      <c r="AY195" s="212"/>
      <c r="AZ195" s="212"/>
      <c r="BA195" s="212"/>
      <c r="BB195" s="212"/>
      <c r="BC195" s="212"/>
      <c r="BD195" s="212"/>
      <c r="BE195" s="212"/>
      <c r="BF195" s="216"/>
      <c r="BG195" s="212"/>
    </row>
    <row r="196" spans="1:59" ht="15.75" customHeight="1" x14ac:dyDescent="0.25">
      <c r="A196" s="212"/>
      <c r="B196" s="212"/>
      <c r="C196" s="212"/>
      <c r="D196" s="212"/>
      <c r="E196" s="216"/>
      <c r="F196" s="216"/>
      <c r="G196" s="269"/>
      <c r="H196" s="216"/>
      <c r="I196" s="218"/>
      <c r="J196" s="212"/>
      <c r="K196" s="212"/>
      <c r="L196" s="212"/>
      <c r="M196" s="212"/>
      <c r="N196" s="212"/>
      <c r="O196" s="217"/>
      <c r="P196" s="217"/>
      <c r="Q196" s="212"/>
      <c r="R196" s="212"/>
      <c r="S196" s="217"/>
      <c r="T196" s="217"/>
      <c r="U196" s="212"/>
      <c r="V196" s="212"/>
      <c r="W196" s="212"/>
      <c r="X196" s="212"/>
      <c r="Y196" s="212"/>
      <c r="Z196" s="212"/>
      <c r="AA196" s="219"/>
      <c r="AB196" s="216"/>
      <c r="AC196" s="216"/>
      <c r="AD196" s="216"/>
      <c r="AE196" s="216"/>
      <c r="AF196" s="212"/>
      <c r="AG196" s="212"/>
      <c r="AH196" s="212"/>
      <c r="AI196" s="216"/>
      <c r="AJ196" s="216"/>
      <c r="AK196" s="216"/>
      <c r="AL196" s="216"/>
      <c r="AM196" s="216"/>
      <c r="AN196" s="216"/>
      <c r="AO196" s="216"/>
      <c r="AP196" s="217"/>
      <c r="AQ196" s="212"/>
      <c r="AR196" s="212"/>
      <c r="AS196" s="212"/>
      <c r="AT196" s="212"/>
      <c r="AU196" s="212"/>
      <c r="AV196" s="212"/>
      <c r="AW196" s="212"/>
      <c r="AX196" s="212"/>
      <c r="AY196" s="212"/>
      <c r="AZ196" s="212"/>
      <c r="BA196" s="212"/>
      <c r="BB196" s="212"/>
      <c r="BC196" s="212"/>
      <c r="BD196" s="212"/>
      <c r="BE196" s="212"/>
      <c r="BF196" s="216"/>
      <c r="BG196" s="212"/>
    </row>
    <row r="197" spans="1:59" ht="15.75" customHeight="1" x14ac:dyDescent="0.25">
      <c r="A197" s="212"/>
      <c r="B197" s="212"/>
      <c r="C197" s="212"/>
      <c r="D197" s="212"/>
      <c r="E197" s="216"/>
      <c r="F197" s="216"/>
      <c r="G197" s="269"/>
      <c r="H197" s="216"/>
      <c r="I197" s="218"/>
      <c r="J197" s="212"/>
      <c r="K197" s="212"/>
      <c r="L197" s="212"/>
      <c r="M197" s="212"/>
      <c r="N197" s="212"/>
      <c r="O197" s="217"/>
      <c r="P197" s="217"/>
      <c r="Q197" s="212"/>
      <c r="R197" s="212"/>
      <c r="S197" s="217"/>
      <c r="T197" s="217"/>
      <c r="U197" s="212"/>
      <c r="V197" s="212"/>
      <c r="W197" s="212"/>
      <c r="X197" s="212"/>
      <c r="Y197" s="212"/>
      <c r="Z197" s="212"/>
      <c r="AA197" s="219"/>
      <c r="AB197" s="216"/>
      <c r="AC197" s="216"/>
      <c r="AD197" s="216"/>
      <c r="AE197" s="216"/>
      <c r="AF197" s="212"/>
      <c r="AG197" s="212"/>
      <c r="AH197" s="212"/>
      <c r="AI197" s="216"/>
      <c r="AJ197" s="216"/>
      <c r="AK197" s="216"/>
      <c r="AL197" s="216"/>
      <c r="AM197" s="216"/>
      <c r="AN197" s="216"/>
      <c r="AO197" s="216"/>
      <c r="AP197" s="217"/>
      <c r="AQ197" s="212"/>
      <c r="AR197" s="212"/>
      <c r="AS197" s="212"/>
      <c r="AT197" s="212"/>
      <c r="AU197" s="212"/>
      <c r="AV197" s="212"/>
      <c r="AW197" s="212"/>
      <c r="AX197" s="212"/>
      <c r="AY197" s="212"/>
      <c r="AZ197" s="212"/>
      <c r="BA197" s="212"/>
      <c r="BB197" s="212"/>
      <c r="BC197" s="212"/>
      <c r="BD197" s="212"/>
      <c r="BE197" s="212"/>
      <c r="BF197" s="216"/>
      <c r="BG197" s="212"/>
    </row>
    <row r="198" spans="1:59" ht="15.75" customHeight="1" x14ac:dyDescent="0.25">
      <c r="A198" s="212"/>
      <c r="B198" s="212"/>
      <c r="C198" s="212"/>
      <c r="D198" s="212"/>
      <c r="E198" s="216"/>
      <c r="F198" s="216"/>
      <c r="G198" s="269"/>
      <c r="H198" s="216"/>
      <c r="I198" s="218"/>
      <c r="J198" s="212"/>
      <c r="K198" s="212"/>
      <c r="L198" s="212"/>
      <c r="M198" s="212"/>
      <c r="N198" s="212"/>
      <c r="O198" s="217"/>
      <c r="P198" s="217"/>
      <c r="Q198" s="212"/>
      <c r="R198" s="212"/>
      <c r="S198" s="217"/>
      <c r="T198" s="217"/>
      <c r="U198" s="212"/>
      <c r="V198" s="212"/>
      <c r="W198" s="212"/>
      <c r="X198" s="212"/>
      <c r="Y198" s="212"/>
      <c r="Z198" s="212"/>
      <c r="AA198" s="219"/>
      <c r="AB198" s="216"/>
      <c r="AC198" s="216"/>
      <c r="AD198" s="216"/>
      <c r="AE198" s="216"/>
      <c r="AF198" s="212"/>
      <c r="AG198" s="212"/>
      <c r="AH198" s="212"/>
      <c r="AI198" s="216"/>
      <c r="AJ198" s="216"/>
      <c r="AK198" s="216"/>
      <c r="AL198" s="216"/>
      <c r="AM198" s="216"/>
      <c r="AN198" s="216"/>
      <c r="AO198" s="216"/>
      <c r="AP198" s="217"/>
      <c r="AQ198" s="212"/>
      <c r="AR198" s="212"/>
      <c r="AS198" s="212"/>
      <c r="AT198" s="212"/>
      <c r="AU198" s="212"/>
      <c r="AV198" s="212"/>
      <c r="AW198" s="212"/>
      <c r="AX198" s="212"/>
      <c r="AY198" s="212"/>
      <c r="AZ198" s="212"/>
      <c r="BA198" s="212"/>
      <c r="BB198" s="212"/>
      <c r="BC198" s="212"/>
      <c r="BD198" s="212"/>
      <c r="BE198" s="212"/>
      <c r="BF198" s="216"/>
      <c r="BG198" s="212"/>
    </row>
    <row r="199" spans="1:59" ht="15.75" customHeight="1" x14ac:dyDescent="0.25">
      <c r="A199" s="212"/>
      <c r="B199" s="212"/>
      <c r="C199" s="212"/>
      <c r="D199" s="212"/>
      <c r="E199" s="216"/>
      <c r="F199" s="216"/>
      <c r="G199" s="269"/>
      <c r="H199" s="216"/>
      <c r="I199" s="218"/>
      <c r="J199" s="212"/>
      <c r="K199" s="212"/>
      <c r="L199" s="212"/>
      <c r="M199" s="212"/>
      <c r="N199" s="212"/>
      <c r="O199" s="217"/>
      <c r="P199" s="217"/>
      <c r="Q199" s="212"/>
      <c r="R199" s="212"/>
      <c r="S199" s="217"/>
      <c r="T199" s="217"/>
      <c r="U199" s="212"/>
      <c r="V199" s="212"/>
      <c r="W199" s="212"/>
      <c r="X199" s="212"/>
      <c r="Y199" s="212"/>
      <c r="Z199" s="212"/>
      <c r="AA199" s="219"/>
      <c r="AB199" s="216"/>
      <c r="AC199" s="216"/>
      <c r="AD199" s="216"/>
      <c r="AE199" s="216"/>
      <c r="AF199" s="212"/>
      <c r="AG199" s="212"/>
      <c r="AH199" s="212"/>
      <c r="AI199" s="216"/>
      <c r="AJ199" s="216"/>
      <c r="AK199" s="216"/>
      <c r="AL199" s="216"/>
      <c r="AM199" s="216"/>
      <c r="AN199" s="216"/>
      <c r="AO199" s="216"/>
      <c r="AP199" s="217"/>
      <c r="AQ199" s="212"/>
      <c r="AR199" s="212"/>
      <c r="AS199" s="212"/>
      <c r="AT199" s="212"/>
      <c r="AU199" s="212"/>
      <c r="AV199" s="212"/>
      <c r="AW199" s="212"/>
      <c r="AX199" s="212"/>
      <c r="AY199" s="212"/>
      <c r="AZ199" s="212"/>
      <c r="BA199" s="212"/>
      <c r="BB199" s="212"/>
      <c r="BC199" s="212"/>
      <c r="BD199" s="212"/>
      <c r="BE199" s="212"/>
      <c r="BF199" s="216"/>
      <c r="BG199" s="212"/>
    </row>
    <row r="200" spans="1:59" ht="15.75" customHeight="1" x14ac:dyDescent="0.25">
      <c r="A200" s="212"/>
      <c r="B200" s="212"/>
      <c r="C200" s="212"/>
      <c r="D200" s="212"/>
      <c r="E200" s="216"/>
      <c r="F200" s="216"/>
      <c r="G200" s="269"/>
      <c r="H200" s="216"/>
      <c r="I200" s="218"/>
      <c r="J200" s="212"/>
      <c r="K200" s="212"/>
      <c r="L200" s="212"/>
      <c r="M200" s="212"/>
      <c r="N200" s="212"/>
      <c r="O200" s="217"/>
      <c r="P200" s="217"/>
      <c r="Q200" s="212"/>
      <c r="R200" s="212"/>
      <c r="S200" s="217"/>
      <c r="T200" s="217"/>
      <c r="U200" s="212"/>
      <c r="V200" s="212"/>
      <c r="W200" s="212"/>
      <c r="X200" s="212"/>
      <c r="Y200" s="212"/>
      <c r="Z200" s="212"/>
      <c r="AA200" s="219"/>
      <c r="AB200" s="216"/>
      <c r="AC200" s="216"/>
      <c r="AD200" s="216"/>
      <c r="AE200" s="216"/>
      <c r="AF200" s="212"/>
      <c r="AG200" s="212"/>
      <c r="AH200" s="212"/>
      <c r="AI200" s="216"/>
      <c r="AJ200" s="216"/>
      <c r="AK200" s="216"/>
      <c r="AL200" s="216"/>
      <c r="AM200" s="216"/>
      <c r="AN200" s="216"/>
      <c r="AO200" s="216"/>
      <c r="AP200" s="217"/>
      <c r="AQ200" s="212"/>
      <c r="AR200" s="212"/>
      <c r="AS200" s="212"/>
      <c r="AT200" s="212"/>
      <c r="AU200" s="212"/>
      <c r="AV200" s="212"/>
      <c r="AW200" s="212"/>
      <c r="AX200" s="212"/>
      <c r="AY200" s="212"/>
      <c r="AZ200" s="212"/>
      <c r="BA200" s="212"/>
      <c r="BB200" s="212"/>
      <c r="BC200" s="212"/>
      <c r="BD200" s="212"/>
      <c r="BE200" s="212"/>
      <c r="BF200" s="216"/>
      <c r="BG200" s="212"/>
    </row>
    <row r="201" spans="1:59" ht="15.75" customHeight="1" x14ac:dyDescent="0.25">
      <c r="A201" s="212"/>
      <c r="B201" s="212"/>
      <c r="C201" s="212"/>
      <c r="D201" s="212"/>
      <c r="E201" s="216"/>
      <c r="F201" s="216"/>
      <c r="G201" s="269"/>
      <c r="H201" s="216"/>
      <c r="I201" s="218"/>
      <c r="J201" s="212"/>
      <c r="K201" s="212"/>
      <c r="L201" s="212"/>
      <c r="M201" s="212"/>
      <c r="N201" s="212"/>
      <c r="O201" s="217"/>
      <c r="P201" s="217"/>
      <c r="Q201" s="212"/>
      <c r="R201" s="212"/>
      <c r="S201" s="217"/>
      <c r="T201" s="217"/>
      <c r="U201" s="212"/>
      <c r="V201" s="212"/>
      <c r="W201" s="212"/>
      <c r="X201" s="212"/>
      <c r="Y201" s="212"/>
      <c r="Z201" s="212"/>
      <c r="AA201" s="219"/>
      <c r="AB201" s="216"/>
      <c r="AC201" s="216"/>
      <c r="AD201" s="216"/>
      <c r="AE201" s="216"/>
      <c r="AF201" s="212"/>
      <c r="AG201" s="212"/>
      <c r="AH201" s="212"/>
      <c r="AI201" s="216"/>
      <c r="AJ201" s="216"/>
      <c r="AK201" s="216"/>
      <c r="AL201" s="216"/>
      <c r="AM201" s="216"/>
      <c r="AN201" s="216"/>
      <c r="AO201" s="216"/>
      <c r="AP201" s="217"/>
      <c r="AQ201" s="212"/>
      <c r="AR201" s="212"/>
      <c r="AS201" s="212"/>
      <c r="AT201" s="212"/>
      <c r="AU201" s="212"/>
      <c r="AV201" s="212"/>
      <c r="AW201" s="212"/>
      <c r="AX201" s="212"/>
      <c r="AY201" s="212"/>
      <c r="AZ201" s="212"/>
      <c r="BA201" s="212"/>
      <c r="BB201" s="212"/>
      <c r="BC201" s="212"/>
      <c r="BD201" s="212"/>
      <c r="BE201" s="212"/>
      <c r="BF201" s="216"/>
      <c r="BG201" s="212"/>
    </row>
    <row r="202" spans="1:59" ht="15.75" customHeight="1" x14ac:dyDescent="0.25">
      <c r="A202" s="212"/>
      <c r="B202" s="212"/>
      <c r="C202" s="212"/>
      <c r="D202" s="212"/>
      <c r="E202" s="216"/>
      <c r="F202" s="216"/>
      <c r="G202" s="269"/>
      <c r="H202" s="216"/>
      <c r="I202" s="218"/>
      <c r="J202" s="212"/>
      <c r="K202" s="212"/>
      <c r="L202" s="212"/>
      <c r="M202" s="212"/>
      <c r="N202" s="212"/>
      <c r="O202" s="217"/>
      <c r="P202" s="217"/>
      <c r="Q202" s="212"/>
      <c r="R202" s="212"/>
      <c r="S202" s="217"/>
      <c r="T202" s="217"/>
      <c r="U202" s="212"/>
      <c r="V202" s="212"/>
      <c r="W202" s="212"/>
      <c r="X202" s="212"/>
      <c r="Y202" s="212"/>
      <c r="Z202" s="212"/>
      <c r="AA202" s="219"/>
      <c r="AB202" s="216"/>
      <c r="AC202" s="216"/>
      <c r="AD202" s="216"/>
      <c r="AE202" s="216"/>
      <c r="AF202" s="212"/>
      <c r="AG202" s="212"/>
      <c r="AH202" s="212"/>
      <c r="AI202" s="216"/>
      <c r="AJ202" s="216"/>
      <c r="AK202" s="216"/>
      <c r="AL202" s="216"/>
      <c r="AM202" s="216"/>
      <c r="AN202" s="216"/>
      <c r="AO202" s="216"/>
      <c r="AP202" s="217"/>
      <c r="AQ202" s="212"/>
      <c r="AR202" s="212"/>
      <c r="AS202" s="212"/>
      <c r="AT202" s="212"/>
      <c r="AU202" s="212"/>
      <c r="AV202" s="212"/>
      <c r="AW202" s="212"/>
      <c r="AX202" s="212"/>
      <c r="AY202" s="212"/>
      <c r="AZ202" s="212"/>
      <c r="BA202" s="212"/>
      <c r="BB202" s="212"/>
      <c r="BC202" s="212"/>
      <c r="BD202" s="212"/>
      <c r="BE202" s="212"/>
      <c r="BF202" s="216"/>
      <c r="BG202" s="212"/>
    </row>
    <row r="203" spans="1:59" ht="15.75" customHeight="1" x14ac:dyDescent="0.25">
      <c r="A203" s="212"/>
      <c r="B203" s="212"/>
      <c r="C203" s="212"/>
      <c r="D203" s="212"/>
      <c r="E203" s="216"/>
      <c r="F203" s="216"/>
      <c r="G203" s="269"/>
      <c r="H203" s="216"/>
      <c r="I203" s="218"/>
      <c r="J203" s="212"/>
      <c r="K203" s="212"/>
      <c r="L203" s="212"/>
      <c r="M203" s="212"/>
      <c r="N203" s="212"/>
      <c r="O203" s="217"/>
      <c r="P203" s="217"/>
      <c r="Q203" s="212"/>
      <c r="R203" s="212"/>
      <c r="S203" s="217"/>
      <c r="T203" s="217"/>
      <c r="U203" s="212"/>
      <c r="V203" s="212"/>
      <c r="W203" s="212"/>
      <c r="X203" s="212"/>
      <c r="Y203" s="212"/>
      <c r="Z203" s="212"/>
      <c r="AA203" s="219"/>
      <c r="AB203" s="216"/>
      <c r="AC203" s="216"/>
      <c r="AD203" s="216"/>
      <c r="AE203" s="216"/>
      <c r="AF203" s="212"/>
      <c r="AG203" s="212"/>
      <c r="AH203" s="212"/>
      <c r="AI203" s="216"/>
      <c r="AJ203" s="216"/>
      <c r="AK203" s="216"/>
      <c r="AL203" s="216"/>
      <c r="AM203" s="216"/>
      <c r="AN203" s="216"/>
      <c r="AO203" s="216"/>
      <c r="AP203" s="217"/>
      <c r="AQ203" s="212"/>
      <c r="AR203" s="212"/>
      <c r="AS203" s="212"/>
      <c r="AT203" s="212"/>
      <c r="AU203" s="212"/>
      <c r="AV203" s="212"/>
      <c r="AW203" s="212"/>
      <c r="AX203" s="212"/>
      <c r="AY203" s="212"/>
      <c r="AZ203" s="212"/>
      <c r="BA203" s="212"/>
      <c r="BB203" s="212"/>
      <c r="BC203" s="212"/>
      <c r="BD203" s="212"/>
      <c r="BE203" s="212"/>
      <c r="BF203" s="216"/>
      <c r="BG203" s="212"/>
    </row>
    <row r="204" spans="1:59" ht="15.75" customHeight="1" x14ac:dyDescent="0.25">
      <c r="A204" s="212"/>
      <c r="B204" s="212"/>
      <c r="C204" s="212"/>
      <c r="D204" s="212"/>
      <c r="E204" s="216"/>
      <c r="F204" s="216"/>
      <c r="G204" s="269"/>
      <c r="H204" s="216"/>
      <c r="I204" s="218"/>
      <c r="J204" s="212"/>
      <c r="K204" s="212"/>
      <c r="L204" s="212"/>
      <c r="M204" s="212"/>
      <c r="N204" s="212"/>
      <c r="O204" s="217"/>
      <c r="P204" s="217"/>
      <c r="Q204" s="212"/>
      <c r="R204" s="212"/>
      <c r="S204" s="217"/>
      <c r="T204" s="217"/>
      <c r="U204" s="212"/>
      <c r="V204" s="212"/>
      <c r="W204" s="212"/>
      <c r="X204" s="212"/>
      <c r="Y204" s="212"/>
      <c r="Z204" s="212"/>
      <c r="AA204" s="219"/>
      <c r="AB204" s="216"/>
      <c r="AC204" s="216"/>
      <c r="AD204" s="216"/>
      <c r="AE204" s="216"/>
      <c r="AF204" s="212"/>
      <c r="AG204" s="212"/>
      <c r="AH204" s="212"/>
      <c r="AI204" s="216"/>
      <c r="AJ204" s="216"/>
      <c r="AK204" s="216"/>
      <c r="AL204" s="216"/>
      <c r="AM204" s="216"/>
      <c r="AN204" s="216"/>
      <c r="AO204" s="216"/>
      <c r="AP204" s="217"/>
      <c r="AQ204" s="212"/>
      <c r="AR204" s="212"/>
      <c r="AS204" s="212"/>
      <c r="AT204" s="212"/>
      <c r="AU204" s="212"/>
      <c r="AV204" s="212"/>
      <c r="AW204" s="212"/>
      <c r="AX204" s="212"/>
      <c r="AY204" s="212"/>
      <c r="AZ204" s="212"/>
      <c r="BA204" s="212"/>
      <c r="BB204" s="212"/>
      <c r="BC204" s="212"/>
      <c r="BD204" s="212"/>
      <c r="BE204" s="212"/>
      <c r="BF204" s="216"/>
      <c r="BG204" s="212"/>
    </row>
    <row r="205" spans="1:59" ht="15.75" customHeight="1" x14ac:dyDescent="0.25">
      <c r="A205" s="212"/>
      <c r="B205" s="212"/>
      <c r="C205" s="212"/>
      <c r="D205" s="212"/>
      <c r="E205" s="216"/>
      <c r="F205" s="216"/>
      <c r="G205" s="269"/>
      <c r="H205" s="216"/>
      <c r="I205" s="218"/>
      <c r="J205" s="212"/>
      <c r="K205" s="212"/>
      <c r="L205" s="212"/>
      <c r="M205" s="212"/>
      <c r="N205" s="212"/>
      <c r="O205" s="217"/>
      <c r="P205" s="217"/>
      <c r="Q205" s="212"/>
      <c r="R205" s="212"/>
      <c r="S205" s="217"/>
      <c r="T205" s="217"/>
      <c r="U205" s="212"/>
      <c r="V205" s="212"/>
      <c r="W205" s="212"/>
      <c r="X205" s="212"/>
      <c r="Y205" s="212"/>
      <c r="Z205" s="212"/>
      <c r="AA205" s="219"/>
      <c r="AB205" s="216"/>
      <c r="AC205" s="216"/>
      <c r="AD205" s="216"/>
      <c r="AE205" s="216"/>
      <c r="AF205" s="212"/>
      <c r="AG205" s="212"/>
      <c r="AH205" s="212"/>
      <c r="AI205" s="216"/>
      <c r="AJ205" s="216"/>
      <c r="AK205" s="216"/>
      <c r="AL205" s="216"/>
      <c r="AM205" s="216"/>
      <c r="AN205" s="216"/>
      <c r="AO205" s="216"/>
      <c r="AP205" s="217"/>
      <c r="AQ205" s="212"/>
      <c r="AR205" s="212"/>
      <c r="AS205" s="212"/>
      <c r="AT205" s="212"/>
      <c r="AU205" s="212"/>
      <c r="AV205" s="212"/>
      <c r="AW205" s="212"/>
      <c r="AX205" s="212"/>
      <c r="AY205" s="212"/>
      <c r="AZ205" s="212"/>
      <c r="BA205" s="212"/>
      <c r="BB205" s="212"/>
      <c r="BC205" s="212"/>
      <c r="BD205" s="212"/>
      <c r="BE205" s="212"/>
      <c r="BF205" s="216"/>
      <c r="BG205" s="212"/>
    </row>
    <row r="206" spans="1:59" ht="15.75" customHeight="1" x14ac:dyDescent="0.25">
      <c r="A206" s="212"/>
      <c r="B206" s="212"/>
      <c r="C206" s="212"/>
      <c r="D206" s="212"/>
      <c r="E206" s="216"/>
      <c r="F206" s="216"/>
      <c r="G206" s="269"/>
      <c r="H206" s="216"/>
      <c r="I206" s="218"/>
      <c r="J206" s="212"/>
      <c r="K206" s="212"/>
      <c r="L206" s="212"/>
      <c r="M206" s="212"/>
      <c r="N206" s="212"/>
      <c r="O206" s="217"/>
      <c r="P206" s="217"/>
      <c r="Q206" s="212"/>
      <c r="R206" s="212"/>
      <c r="S206" s="217"/>
      <c r="T206" s="217"/>
      <c r="U206" s="212"/>
      <c r="V206" s="212"/>
      <c r="W206" s="212"/>
      <c r="X206" s="212"/>
      <c r="Y206" s="212"/>
      <c r="Z206" s="212"/>
      <c r="AA206" s="219"/>
      <c r="AB206" s="216"/>
      <c r="AC206" s="216"/>
      <c r="AD206" s="216"/>
      <c r="AE206" s="216"/>
      <c r="AF206" s="212"/>
      <c r="AG206" s="212"/>
      <c r="AH206" s="212"/>
      <c r="AI206" s="216"/>
      <c r="AJ206" s="216"/>
      <c r="AK206" s="216"/>
      <c r="AL206" s="216"/>
      <c r="AM206" s="216"/>
      <c r="AN206" s="216"/>
      <c r="AO206" s="216"/>
      <c r="AP206" s="217"/>
      <c r="AQ206" s="212"/>
      <c r="AR206" s="212"/>
      <c r="AS206" s="212"/>
      <c r="AT206" s="212"/>
      <c r="AU206" s="212"/>
      <c r="AV206" s="212"/>
      <c r="AW206" s="212"/>
      <c r="AX206" s="212"/>
      <c r="AY206" s="212"/>
      <c r="AZ206" s="212"/>
      <c r="BA206" s="212"/>
      <c r="BB206" s="212"/>
      <c r="BC206" s="212"/>
      <c r="BD206" s="212"/>
      <c r="BE206" s="212"/>
      <c r="BF206" s="216"/>
      <c r="BG206" s="212"/>
    </row>
    <row r="207" spans="1:59" ht="15.75" customHeight="1" x14ac:dyDescent="0.25">
      <c r="A207" s="212"/>
      <c r="B207" s="212"/>
      <c r="C207" s="212"/>
      <c r="D207" s="212"/>
      <c r="E207" s="216"/>
      <c r="F207" s="216"/>
      <c r="G207" s="269"/>
      <c r="H207" s="216"/>
      <c r="I207" s="218"/>
      <c r="J207" s="212"/>
      <c r="K207" s="212"/>
      <c r="L207" s="212"/>
      <c r="M207" s="212"/>
      <c r="N207" s="212"/>
      <c r="O207" s="217"/>
      <c r="P207" s="217"/>
      <c r="Q207" s="212"/>
      <c r="R207" s="212"/>
      <c r="S207" s="217"/>
      <c r="T207" s="217"/>
      <c r="U207" s="212"/>
      <c r="V207" s="212"/>
      <c r="W207" s="212"/>
      <c r="X207" s="212"/>
      <c r="Y207" s="212"/>
      <c r="Z207" s="212"/>
      <c r="AA207" s="219"/>
      <c r="AB207" s="216"/>
      <c r="AC207" s="216"/>
      <c r="AD207" s="216"/>
      <c r="AE207" s="216"/>
      <c r="AF207" s="212"/>
      <c r="AG207" s="212"/>
      <c r="AH207" s="212"/>
      <c r="AI207" s="216"/>
      <c r="AJ207" s="216"/>
      <c r="AK207" s="216"/>
      <c r="AL207" s="216"/>
      <c r="AM207" s="216"/>
      <c r="AN207" s="216"/>
      <c r="AO207" s="216"/>
      <c r="AP207" s="217"/>
      <c r="AQ207" s="212"/>
      <c r="AR207" s="212"/>
      <c r="AS207" s="212"/>
      <c r="AT207" s="212"/>
      <c r="AU207" s="212"/>
      <c r="AV207" s="212"/>
      <c r="AW207" s="212"/>
      <c r="AX207" s="212"/>
      <c r="AY207" s="212"/>
      <c r="AZ207" s="212"/>
      <c r="BA207" s="212"/>
      <c r="BB207" s="212"/>
      <c r="BC207" s="212"/>
      <c r="BD207" s="212"/>
      <c r="BE207" s="212"/>
      <c r="BF207" s="216"/>
      <c r="BG207" s="212"/>
    </row>
    <row r="208" spans="1:59" ht="15.75" customHeight="1" x14ac:dyDescent="0.25">
      <c r="A208" s="212"/>
      <c r="B208" s="212"/>
      <c r="C208" s="212"/>
      <c r="D208" s="212"/>
      <c r="E208" s="216"/>
      <c r="F208" s="216"/>
      <c r="G208" s="269"/>
      <c r="H208" s="216"/>
      <c r="I208" s="218"/>
      <c r="J208" s="212"/>
      <c r="K208" s="212"/>
      <c r="L208" s="212"/>
      <c r="M208" s="212"/>
      <c r="N208" s="212"/>
      <c r="O208" s="217"/>
      <c r="P208" s="217"/>
      <c r="Q208" s="212"/>
      <c r="R208" s="212"/>
      <c r="S208" s="217"/>
      <c r="T208" s="217"/>
      <c r="U208" s="212"/>
      <c r="V208" s="212"/>
      <c r="W208" s="212"/>
      <c r="X208" s="212"/>
      <c r="Y208" s="212"/>
      <c r="Z208" s="212"/>
      <c r="AA208" s="219"/>
      <c r="AB208" s="216"/>
      <c r="AC208" s="216"/>
      <c r="AD208" s="216"/>
      <c r="AE208" s="216"/>
      <c r="AF208" s="212"/>
      <c r="AG208" s="212"/>
      <c r="AH208" s="212"/>
      <c r="AI208" s="216"/>
      <c r="AJ208" s="216"/>
      <c r="AK208" s="216"/>
      <c r="AL208" s="216"/>
      <c r="AM208" s="216"/>
      <c r="AN208" s="216"/>
      <c r="AO208" s="216"/>
      <c r="AP208" s="217"/>
      <c r="AQ208" s="212"/>
      <c r="AR208" s="212"/>
      <c r="AS208" s="212"/>
      <c r="AT208" s="212"/>
      <c r="AU208" s="212"/>
      <c r="AV208" s="212"/>
      <c r="AW208" s="212"/>
      <c r="AX208" s="212"/>
      <c r="AY208" s="212"/>
      <c r="AZ208" s="212"/>
      <c r="BA208" s="212"/>
      <c r="BB208" s="212"/>
      <c r="BC208" s="212"/>
      <c r="BD208" s="212"/>
      <c r="BE208" s="212"/>
      <c r="BF208" s="216"/>
      <c r="BG208" s="212"/>
    </row>
    <row r="209" spans="1:59" ht="15.75" customHeight="1" x14ac:dyDescent="0.25">
      <c r="A209" s="212"/>
      <c r="B209" s="212"/>
      <c r="C209" s="212"/>
      <c r="D209" s="212"/>
      <c r="E209" s="216"/>
      <c r="F209" s="216"/>
      <c r="G209" s="269"/>
      <c r="H209" s="216"/>
      <c r="I209" s="218"/>
      <c r="J209" s="212"/>
      <c r="K209" s="212"/>
      <c r="L209" s="212"/>
      <c r="M209" s="212"/>
      <c r="N209" s="212"/>
      <c r="O209" s="217"/>
      <c r="P209" s="217"/>
      <c r="Q209" s="212"/>
      <c r="R209" s="212"/>
      <c r="S209" s="217"/>
      <c r="T209" s="217"/>
      <c r="U209" s="212"/>
      <c r="V209" s="212"/>
      <c r="W209" s="212"/>
      <c r="X209" s="212"/>
      <c r="Y209" s="212"/>
      <c r="Z209" s="212"/>
      <c r="AA209" s="219"/>
      <c r="AB209" s="216"/>
      <c r="AC209" s="216"/>
      <c r="AD209" s="216"/>
      <c r="AE209" s="216"/>
      <c r="AF209" s="212"/>
      <c r="AG209" s="212"/>
      <c r="AH209" s="212"/>
      <c r="AI209" s="216"/>
      <c r="AJ209" s="216"/>
      <c r="AK209" s="216"/>
      <c r="AL209" s="216"/>
      <c r="AM209" s="216"/>
      <c r="AN209" s="216"/>
      <c r="AO209" s="216"/>
      <c r="AP209" s="217"/>
      <c r="AQ209" s="212"/>
      <c r="AR209" s="212"/>
      <c r="AS209" s="212"/>
      <c r="AT209" s="212"/>
      <c r="AU209" s="212"/>
      <c r="AV209" s="212"/>
      <c r="AW209" s="212"/>
      <c r="AX209" s="212"/>
      <c r="AY209" s="212"/>
      <c r="AZ209" s="212"/>
      <c r="BA209" s="212"/>
      <c r="BB209" s="212"/>
      <c r="BC209" s="212"/>
      <c r="BD209" s="212"/>
      <c r="BE209" s="212"/>
      <c r="BF209" s="216"/>
      <c r="BG209" s="212"/>
    </row>
    <row r="210" spans="1:59" ht="15.75" customHeight="1" x14ac:dyDescent="0.25">
      <c r="A210" s="212"/>
      <c r="B210" s="212"/>
      <c r="C210" s="212"/>
      <c r="D210" s="212"/>
      <c r="E210" s="216"/>
      <c r="F210" s="216"/>
      <c r="G210" s="269"/>
      <c r="H210" s="216"/>
      <c r="I210" s="218"/>
      <c r="J210" s="212"/>
      <c r="K210" s="212"/>
      <c r="L210" s="212"/>
      <c r="M210" s="212"/>
      <c r="N210" s="212"/>
      <c r="O210" s="217"/>
      <c r="P210" s="217"/>
      <c r="Q210" s="212"/>
      <c r="R210" s="212"/>
      <c r="S210" s="217"/>
      <c r="T210" s="217"/>
      <c r="U210" s="212"/>
      <c r="V210" s="212"/>
      <c r="W210" s="212"/>
      <c r="X210" s="212"/>
      <c r="Y210" s="212"/>
      <c r="Z210" s="212"/>
      <c r="AA210" s="219"/>
      <c r="AB210" s="216"/>
      <c r="AC210" s="216"/>
      <c r="AD210" s="216"/>
      <c r="AE210" s="216"/>
      <c r="AF210" s="212"/>
      <c r="AG210" s="212"/>
      <c r="AH210" s="212"/>
      <c r="AI210" s="216"/>
      <c r="AJ210" s="216"/>
      <c r="AK210" s="216"/>
      <c r="AL210" s="216"/>
      <c r="AM210" s="216"/>
      <c r="AN210" s="216"/>
      <c r="AO210" s="216"/>
      <c r="AP210" s="217"/>
      <c r="AQ210" s="212"/>
      <c r="AR210" s="212"/>
      <c r="AS210" s="212"/>
      <c r="AT210" s="212"/>
      <c r="AU210" s="212"/>
      <c r="AV210" s="212"/>
      <c r="AW210" s="212"/>
      <c r="AX210" s="212"/>
      <c r="AY210" s="212"/>
      <c r="AZ210" s="212"/>
      <c r="BA210" s="212"/>
      <c r="BB210" s="212"/>
      <c r="BC210" s="212"/>
      <c r="BD210" s="212"/>
      <c r="BE210" s="212"/>
      <c r="BF210" s="216"/>
      <c r="BG210" s="212"/>
    </row>
    <row r="211" spans="1:59" ht="15.75" customHeight="1" x14ac:dyDescent="0.25">
      <c r="A211" s="212"/>
      <c r="B211" s="212"/>
      <c r="C211" s="212"/>
      <c r="D211" s="212"/>
      <c r="E211" s="216"/>
      <c r="F211" s="216"/>
      <c r="G211" s="269"/>
      <c r="H211" s="216"/>
      <c r="I211" s="218"/>
      <c r="J211" s="212"/>
      <c r="K211" s="212"/>
      <c r="L211" s="212"/>
      <c r="M211" s="212"/>
      <c r="N211" s="212"/>
      <c r="O211" s="217"/>
      <c r="P211" s="217"/>
      <c r="Q211" s="212"/>
      <c r="R211" s="212"/>
      <c r="S211" s="217"/>
      <c r="T211" s="217"/>
      <c r="U211" s="212"/>
      <c r="V211" s="212"/>
      <c r="W211" s="212"/>
      <c r="X211" s="212"/>
      <c r="Y211" s="212"/>
      <c r="Z211" s="212"/>
      <c r="AA211" s="219"/>
      <c r="AB211" s="216"/>
      <c r="AC211" s="216"/>
      <c r="AD211" s="216"/>
      <c r="AE211" s="216"/>
      <c r="AF211" s="212"/>
      <c r="AG211" s="212"/>
      <c r="AH211" s="212"/>
      <c r="AI211" s="216"/>
      <c r="AJ211" s="216"/>
      <c r="AK211" s="216"/>
      <c r="AL211" s="216"/>
      <c r="AM211" s="216"/>
      <c r="AN211" s="216"/>
      <c r="AO211" s="216"/>
      <c r="AP211" s="217"/>
      <c r="AQ211" s="212"/>
      <c r="AR211" s="212"/>
      <c r="AS211" s="212"/>
      <c r="AT211" s="212"/>
      <c r="AU211" s="212"/>
      <c r="AV211" s="212"/>
      <c r="AW211" s="212"/>
      <c r="AX211" s="212"/>
      <c r="AY211" s="212"/>
      <c r="AZ211" s="212"/>
      <c r="BA211" s="212"/>
      <c r="BB211" s="212"/>
      <c r="BC211" s="212"/>
      <c r="BD211" s="212"/>
      <c r="BE211" s="212"/>
      <c r="BF211" s="216"/>
      <c r="BG211" s="212"/>
    </row>
    <row r="212" spans="1:59" ht="15.75" customHeight="1" x14ac:dyDescent="0.25">
      <c r="A212" s="212"/>
      <c r="B212" s="212"/>
      <c r="C212" s="212"/>
      <c r="D212" s="212"/>
      <c r="E212" s="216"/>
      <c r="F212" s="216"/>
      <c r="G212" s="269"/>
      <c r="H212" s="216"/>
      <c r="I212" s="218"/>
      <c r="J212" s="212"/>
      <c r="K212" s="212"/>
      <c r="L212" s="212"/>
      <c r="M212" s="212"/>
      <c r="N212" s="212"/>
      <c r="O212" s="217"/>
      <c r="P212" s="217"/>
      <c r="Q212" s="212"/>
      <c r="R212" s="212"/>
      <c r="S212" s="217"/>
      <c r="T212" s="217"/>
      <c r="U212" s="212"/>
      <c r="V212" s="212"/>
      <c r="W212" s="212"/>
      <c r="X212" s="212"/>
      <c r="Y212" s="212"/>
      <c r="Z212" s="212"/>
      <c r="AA212" s="219"/>
      <c r="AB212" s="216"/>
      <c r="AC212" s="216"/>
      <c r="AD212" s="216"/>
      <c r="AE212" s="216"/>
      <c r="AF212" s="212"/>
      <c r="AG212" s="212"/>
      <c r="AH212" s="212"/>
      <c r="AI212" s="216"/>
      <c r="AJ212" s="216"/>
      <c r="AK212" s="216"/>
      <c r="AL212" s="216"/>
      <c r="AM212" s="216"/>
      <c r="AN212" s="216"/>
      <c r="AO212" s="216"/>
      <c r="AP212" s="217"/>
      <c r="AQ212" s="212"/>
      <c r="AR212" s="212"/>
      <c r="AS212" s="212"/>
      <c r="AT212" s="212"/>
      <c r="AU212" s="212"/>
      <c r="AV212" s="212"/>
      <c r="AW212" s="212"/>
      <c r="AX212" s="212"/>
      <c r="AY212" s="212"/>
      <c r="AZ212" s="212"/>
      <c r="BA212" s="212"/>
      <c r="BB212" s="212"/>
      <c r="BC212" s="212"/>
      <c r="BD212" s="212"/>
      <c r="BE212" s="212"/>
      <c r="BF212" s="216"/>
      <c r="BG212" s="212"/>
    </row>
    <row r="213" spans="1:59" ht="15.75" customHeight="1" x14ac:dyDescent="0.25">
      <c r="A213" s="212"/>
      <c r="B213" s="212"/>
      <c r="C213" s="212"/>
      <c r="D213" s="212"/>
      <c r="E213" s="216"/>
      <c r="F213" s="216"/>
      <c r="G213" s="269"/>
      <c r="H213" s="216"/>
      <c r="I213" s="218"/>
      <c r="J213" s="212"/>
      <c r="K213" s="212"/>
      <c r="L213" s="212"/>
      <c r="M213" s="212"/>
      <c r="N213" s="212"/>
      <c r="O213" s="217"/>
      <c r="P213" s="217"/>
      <c r="Q213" s="212"/>
      <c r="R213" s="212"/>
      <c r="S213" s="217"/>
      <c r="T213" s="217"/>
      <c r="U213" s="212"/>
      <c r="V213" s="212"/>
      <c r="W213" s="212"/>
      <c r="X213" s="212"/>
      <c r="Y213" s="212"/>
      <c r="Z213" s="212"/>
      <c r="AA213" s="219"/>
      <c r="AB213" s="216"/>
      <c r="AC213" s="216"/>
      <c r="AD213" s="216"/>
      <c r="AE213" s="216"/>
      <c r="AF213" s="212"/>
      <c r="AG213" s="212"/>
      <c r="AH213" s="212"/>
      <c r="AI213" s="216"/>
      <c r="AJ213" s="216"/>
      <c r="AK213" s="216"/>
      <c r="AL213" s="216"/>
      <c r="AM213" s="216"/>
      <c r="AN213" s="216"/>
      <c r="AO213" s="216"/>
      <c r="AP213" s="217"/>
      <c r="AQ213" s="212"/>
      <c r="AR213" s="212"/>
      <c r="AS213" s="212"/>
      <c r="AT213" s="212"/>
      <c r="AU213" s="212"/>
      <c r="AV213" s="212"/>
      <c r="AW213" s="212"/>
      <c r="AX213" s="212"/>
      <c r="AY213" s="212"/>
      <c r="AZ213" s="212"/>
      <c r="BA213" s="212"/>
      <c r="BB213" s="212"/>
      <c r="BC213" s="212"/>
      <c r="BD213" s="212"/>
      <c r="BE213" s="212"/>
      <c r="BF213" s="216"/>
      <c r="BG213" s="212"/>
    </row>
    <row r="214" spans="1:59" ht="15.75" customHeight="1" x14ac:dyDescent="0.25">
      <c r="A214" s="212"/>
      <c r="B214" s="212"/>
      <c r="C214" s="212"/>
      <c r="D214" s="212"/>
      <c r="E214" s="216"/>
      <c r="F214" s="216"/>
      <c r="G214" s="269"/>
      <c r="H214" s="216"/>
      <c r="I214" s="218"/>
      <c r="J214" s="212"/>
      <c r="K214" s="212"/>
      <c r="L214" s="212"/>
      <c r="M214" s="212"/>
      <c r="N214" s="212"/>
      <c r="O214" s="217"/>
      <c r="P214" s="217"/>
      <c r="Q214" s="212"/>
      <c r="R214" s="212"/>
      <c r="S214" s="217"/>
      <c r="T214" s="217"/>
      <c r="U214" s="212"/>
      <c r="V214" s="212"/>
      <c r="W214" s="212"/>
      <c r="X214" s="212"/>
      <c r="Y214" s="212"/>
      <c r="Z214" s="212"/>
      <c r="AA214" s="219"/>
      <c r="AB214" s="216"/>
      <c r="AC214" s="216"/>
      <c r="AD214" s="216"/>
      <c r="AE214" s="216"/>
      <c r="AF214" s="212"/>
      <c r="AG214" s="212"/>
      <c r="AH214" s="212"/>
      <c r="AI214" s="216"/>
      <c r="AJ214" s="216"/>
      <c r="AK214" s="216"/>
      <c r="AL214" s="216"/>
      <c r="AM214" s="216"/>
      <c r="AN214" s="216"/>
      <c r="AO214" s="216"/>
      <c r="AP214" s="217"/>
      <c r="AQ214" s="212"/>
      <c r="AR214" s="212"/>
      <c r="AS214" s="212"/>
      <c r="AT214" s="212"/>
      <c r="AU214" s="212"/>
      <c r="AV214" s="212"/>
      <c r="AW214" s="212"/>
      <c r="AX214" s="212"/>
      <c r="AY214" s="212"/>
      <c r="AZ214" s="212"/>
      <c r="BA214" s="212"/>
      <c r="BB214" s="212"/>
      <c r="BC214" s="212"/>
      <c r="BD214" s="212"/>
      <c r="BE214" s="212"/>
      <c r="BF214" s="216"/>
      <c r="BG214" s="212"/>
    </row>
    <row r="215" spans="1:59" ht="15.75" customHeight="1" x14ac:dyDescent="0.25">
      <c r="A215" s="212"/>
      <c r="B215" s="212"/>
      <c r="C215" s="212"/>
      <c r="D215" s="212"/>
      <c r="E215" s="216"/>
      <c r="F215" s="216"/>
      <c r="G215" s="269"/>
      <c r="H215" s="216"/>
      <c r="I215" s="218"/>
      <c r="J215" s="212"/>
      <c r="K215" s="212"/>
      <c r="L215" s="212"/>
      <c r="M215" s="212"/>
      <c r="N215" s="212"/>
      <c r="O215" s="217"/>
      <c r="P215" s="217"/>
      <c r="Q215" s="212"/>
      <c r="R215" s="212"/>
      <c r="S215" s="217"/>
      <c r="T215" s="217"/>
      <c r="U215" s="212"/>
      <c r="V215" s="212"/>
      <c r="W215" s="212"/>
      <c r="X215" s="212"/>
      <c r="Y215" s="212"/>
      <c r="Z215" s="212"/>
      <c r="AA215" s="219"/>
      <c r="AB215" s="216"/>
      <c r="AC215" s="216"/>
      <c r="AD215" s="216"/>
      <c r="AE215" s="216"/>
      <c r="AF215" s="212"/>
      <c r="AG215" s="212"/>
      <c r="AH215" s="212"/>
      <c r="AI215" s="216"/>
      <c r="AJ215" s="216"/>
      <c r="AK215" s="216"/>
      <c r="AL215" s="216"/>
      <c r="AM215" s="216"/>
      <c r="AN215" s="216"/>
      <c r="AO215" s="216"/>
      <c r="AP215" s="217"/>
      <c r="AQ215" s="212"/>
      <c r="AR215" s="212"/>
      <c r="AS215" s="212"/>
      <c r="AT215" s="212"/>
      <c r="AU215" s="212"/>
      <c r="AV215" s="212"/>
      <c r="AW215" s="212"/>
      <c r="AX215" s="212"/>
      <c r="AY215" s="212"/>
      <c r="AZ215" s="212"/>
      <c r="BA215" s="212"/>
      <c r="BB215" s="212"/>
      <c r="BC215" s="212"/>
      <c r="BD215" s="212"/>
      <c r="BE215" s="212"/>
      <c r="BF215" s="216"/>
      <c r="BG215" s="212"/>
    </row>
    <row r="216" spans="1:59" ht="15.75" customHeight="1" x14ac:dyDescent="0.25">
      <c r="A216" s="212"/>
      <c r="B216" s="212"/>
      <c r="C216" s="212"/>
      <c r="D216" s="212"/>
      <c r="E216" s="216"/>
      <c r="F216" s="216"/>
      <c r="G216" s="269"/>
      <c r="H216" s="216"/>
      <c r="I216" s="218"/>
      <c r="J216" s="212"/>
      <c r="K216" s="212"/>
      <c r="L216" s="212"/>
      <c r="M216" s="212"/>
      <c r="N216" s="212"/>
      <c r="O216" s="217"/>
      <c r="P216" s="217"/>
      <c r="Q216" s="212"/>
      <c r="R216" s="212"/>
      <c r="S216" s="217"/>
      <c r="T216" s="217"/>
      <c r="U216" s="212"/>
      <c r="V216" s="212"/>
      <c r="W216" s="212"/>
      <c r="X216" s="212"/>
      <c r="Y216" s="212"/>
      <c r="Z216" s="212"/>
      <c r="AA216" s="219"/>
      <c r="AB216" s="216"/>
      <c r="AC216" s="216"/>
      <c r="AD216" s="216"/>
      <c r="AE216" s="216"/>
      <c r="AF216" s="212"/>
      <c r="AG216" s="212"/>
      <c r="AH216" s="212"/>
      <c r="AI216" s="216"/>
      <c r="AJ216" s="216"/>
      <c r="AK216" s="216"/>
      <c r="AL216" s="216"/>
      <c r="AM216" s="216"/>
      <c r="AN216" s="216"/>
      <c r="AO216" s="216"/>
      <c r="AP216" s="217"/>
      <c r="AQ216" s="212"/>
      <c r="AR216" s="212"/>
      <c r="AS216" s="212"/>
      <c r="AT216" s="212"/>
      <c r="AU216" s="212"/>
      <c r="AV216" s="212"/>
      <c r="AW216" s="212"/>
      <c r="AX216" s="212"/>
      <c r="AY216" s="212"/>
      <c r="AZ216" s="212"/>
      <c r="BA216" s="212"/>
      <c r="BB216" s="212"/>
      <c r="BC216" s="212"/>
      <c r="BD216" s="212"/>
      <c r="BE216" s="212"/>
      <c r="BF216" s="216"/>
      <c r="BG216" s="212"/>
    </row>
    <row r="217" spans="1:59" ht="15.75" customHeight="1" x14ac:dyDescent="0.25">
      <c r="A217" s="212"/>
      <c r="B217" s="212"/>
      <c r="C217" s="212"/>
      <c r="D217" s="212"/>
      <c r="E217" s="216"/>
      <c r="F217" s="216"/>
      <c r="G217" s="269"/>
      <c r="H217" s="216"/>
      <c r="I217" s="218"/>
      <c r="J217" s="212"/>
      <c r="K217" s="212"/>
      <c r="L217" s="212"/>
      <c r="M217" s="212"/>
      <c r="N217" s="212"/>
      <c r="O217" s="217"/>
      <c r="P217" s="217"/>
      <c r="Q217" s="212"/>
      <c r="R217" s="212"/>
      <c r="S217" s="217"/>
      <c r="T217" s="217"/>
      <c r="U217" s="212"/>
      <c r="V217" s="212"/>
      <c r="W217" s="212"/>
      <c r="X217" s="212"/>
      <c r="Y217" s="212"/>
      <c r="Z217" s="212"/>
      <c r="AA217" s="219"/>
      <c r="AB217" s="216"/>
      <c r="AC217" s="216"/>
      <c r="AD217" s="216"/>
      <c r="AE217" s="216"/>
      <c r="AF217" s="212"/>
      <c r="AG217" s="212"/>
      <c r="AH217" s="212"/>
      <c r="AI217" s="216"/>
      <c r="AJ217" s="216"/>
      <c r="AK217" s="216"/>
      <c r="AL217" s="216"/>
      <c r="AM217" s="216"/>
      <c r="AN217" s="216"/>
      <c r="AO217" s="216"/>
      <c r="AP217" s="217"/>
      <c r="AQ217" s="212"/>
      <c r="AR217" s="212"/>
      <c r="AS217" s="212"/>
      <c r="AT217" s="212"/>
      <c r="AU217" s="212"/>
      <c r="AV217" s="212"/>
      <c r="AW217" s="212"/>
      <c r="AX217" s="212"/>
      <c r="AY217" s="212"/>
      <c r="AZ217" s="212"/>
      <c r="BA217" s="212"/>
      <c r="BB217" s="212"/>
      <c r="BC217" s="212"/>
      <c r="BD217" s="212"/>
      <c r="BE217" s="212"/>
      <c r="BF217" s="216"/>
      <c r="BG217" s="212"/>
    </row>
    <row r="218" spans="1:59" ht="15.75" customHeight="1" x14ac:dyDescent="0.25">
      <c r="A218" s="212"/>
      <c r="B218" s="212"/>
      <c r="C218" s="212"/>
      <c r="D218" s="212"/>
      <c r="E218" s="216"/>
      <c r="F218" s="216"/>
      <c r="G218" s="269"/>
      <c r="H218" s="216"/>
      <c r="I218" s="218"/>
      <c r="J218" s="212"/>
      <c r="K218" s="212"/>
      <c r="L218" s="212"/>
      <c r="M218" s="212"/>
      <c r="N218" s="212"/>
      <c r="O218" s="217"/>
      <c r="P218" s="217"/>
      <c r="Q218" s="212"/>
      <c r="R218" s="212"/>
      <c r="S218" s="217"/>
      <c r="T218" s="217"/>
      <c r="U218" s="212"/>
      <c r="V218" s="212"/>
      <c r="W218" s="212"/>
      <c r="X218" s="212"/>
      <c r="Y218" s="212"/>
      <c r="Z218" s="212"/>
      <c r="AA218" s="219"/>
      <c r="AB218" s="216"/>
      <c r="AC218" s="216"/>
      <c r="AD218" s="216"/>
      <c r="AE218" s="216"/>
      <c r="AF218" s="212"/>
      <c r="AG218" s="212"/>
      <c r="AH218" s="212"/>
      <c r="AI218" s="216"/>
      <c r="AJ218" s="216"/>
      <c r="AK218" s="216"/>
      <c r="AL218" s="216"/>
      <c r="AM218" s="216"/>
      <c r="AN218" s="216"/>
      <c r="AO218" s="216"/>
      <c r="AP218" s="217"/>
      <c r="AQ218" s="212"/>
      <c r="AR218" s="212"/>
      <c r="AS218" s="212"/>
      <c r="AT218" s="212"/>
      <c r="AU218" s="212"/>
      <c r="AV218" s="212"/>
      <c r="AW218" s="212"/>
      <c r="AX218" s="212"/>
      <c r="AY218" s="212"/>
      <c r="AZ218" s="212"/>
      <c r="BA218" s="212"/>
      <c r="BB218" s="212"/>
      <c r="BC218" s="212"/>
      <c r="BD218" s="212"/>
      <c r="BE218" s="212"/>
      <c r="BF218" s="216"/>
      <c r="BG218" s="212"/>
    </row>
    <row r="219" spans="1:59" ht="15.75" customHeight="1" x14ac:dyDescent="0.25">
      <c r="A219" s="212"/>
      <c r="B219" s="212"/>
      <c r="C219" s="212"/>
      <c r="D219" s="212"/>
      <c r="E219" s="216"/>
      <c r="F219" s="216"/>
      <c r="G219" s="269"/>
      <c r="H219" s="216"/>
      <c r="I219" s="218"/>
      <c r="J219" s="212"/>
      <c r="K219" s="212"/>
      <c r="L219" s="212"/>
      <c r="M219" s="212"/>
      <c r="N219" s="212"/>
      <c r="O219" s="217"/>
      <c r="P219" s="217"/>
      <c r="Q219" s="212"/>
      <c r="R219" s="212"/>
      <c r="S219" s="217"/>
      <c r="T219" s="217"/>
      <c r="U219" s="212"/>
      <c r="V219" s="212"/>
      <c r="W219" s="212"/>
      <c r="X219" s="212"/>
      <c r="Y219" s="212"/>
      <c r="Z219" s="212"/>
      <c r="AA219" s="219"/>
      <c r="AB219" s="216"/>
      <c r="AC219" s="216"/>
      <c r="AD219" s="216"/>
      <c r="AE219" s="216"/>
      <c r="AF219" s="212"/>
      <c r="AG219" s="212"/>
      <c r="AH219" s="212"/>
      <c r="AI219" s="216"/>
      <c r="AJ219" s="216"/>
      <c r="AK219" s="216"/>
      <c r="AL219" s="216"/>
      <c r="AM219" s="216"/>
      <c r="AN219" s="216"/>
      <c r="AO219" s="216"/>
      <c r="AP219" s="217"/>
      <c r="AQ219" s="212"/>
      <c r="AR219" s="212"/>
      <c r="AS219" s="212"/>
      <c r="AT219" s="212"/>
      <c r="AU219" s="212"/>
      <c r="AV219" s="212"/>
      <c r="AW219" s="212"/>
      <c r="AX219" s="212"/>
      <c r="AY219" s="212"/>
      <c r="AZ219" s="212"/>
      <c r="BA219" s="212"/>
      <c r="BB219" s="212"/>
      <c r="BC219" s="212"/>
      <c r="BD219" s="212"/>
      <c r="BE219" s="212"/>
      <c r="BF219" s="216"/>
      <c r="BG219" s="212"/>
    </row>
    <row r="220" spans="1:59" ht="15.75" customHeight="1" x14ac:dyDescent="0.25">
      <c r="A220" s="212"/>
      <c r="B220" s="212"/>
      <c r="C220" s="212"/>
      <c r="D220" s="212"/>
      <c r="E220" s="216"/>
      <c r="F220" s="216"/>
      <c r="G220" s="269"/>
      <c r="H220" s="216"/>
      <c r="I220" s="218"/>
      <c r="J220" s="212"/>
      <c r="K220" s="212"/>
      <c r="L220" s="212"/>
      <c r="M220" s="212"/>
      <c r="N220" s="212"/>
      <c r="O220" s="217"/>
      <c r="P220" s="217"/>
      <c r="Q220" s="212"/>
      <c r="R220" s="212"/>
      <c r="S220" s="217"/>
      <c r="T220" s="217"/>
      <c r="U220" s="212"/>
      <c r="V220" s="212"/>
      <c r="W220" s="212"/>
      <c r="X220" s="212"/>
      <c r="Y220" s="212"/>
      <c r="Z220" s="212"/>
      <c r="AA220" s="219"/>
      <c r="AB220" s="216"/>
      <c r="AC220" s="216"/>
      <c r="AD220" s="216"/>
      <c r="AE220" s="216"/>
      <c r="AF220" s="212"/>
      <c r="AG220" s="212"/>
      <c r="AH220" s="212"/>
      <c r="AI220" s="216"/>
      <c r="AJ220" s="216"/>
      <c r="AK220" s="216"/>
      <c r="AL220" s="216"/>
      <c r="AM220" s="216"/>
      <c r="AN220" s="216"/>
      <c r="AO220" s="216"/>
      <c r="AP220" s="217"/>
      <c r="AQ220" s="212"/>
      <c r="AR220" s="212"/>
      <c r="AS220" s="212"/>
      <c r="AT220" s="212"/>
      <c r="AU220" s="212"/>
      <c r="AV220" s="212"/>
      <c r="AW220" s="212"/>
      <c r="AX220" s="212"/>
      <c r="AY220" s="212"/>
      <c r="AZ220" s="212"/>
      <c r="BA220" s="212"/>
      <c r="BB220" s="212"/>
      <c r="BC220" s="212"/>
      <c r="BD220" s="212"/>
      <c r="BE220" s="212"/>
      <c r="BF220" s="216"/>
      <c r="BG220" s="212"/>
    </row>
    <row r="221" spans="1:59" ht="15.75" customHeight="1" x14ac:dyDescent="0.25">
      <c r="A221" s="212"/>
      <c r="B221" s="212"/>
      <c r="C221" s="212"/>
      <c r="D221" s="212"/>
      <c r="E221" s="216"/>
      <c r="F221" s="216"/>
      <c r="G221" s="269"/>
      <c r="H221" s="216"/>
      <c r="I221" s="218"/>
      <c r="J221" s="212"/>
      <c r="K221" s="212"/>
      <c r="L221" s="212"/>
      <c r="M221" s="212"/>
      <c r="N221" s="212"/>
      <c r="O221" s="217"/>
      <c r="P221" s="217"/>
      <c r="Q221" s="212"/>
      <c r="R221" s="212"/>
      <c r="S221" s="217"/>
      <c r="T221" s="217"/>
      <c r="U221" s="212"/>
      <c r="V221" s="212"/>
      <c r="W221" s="212"/>
      <c r="X221" s="212"/>
      <c r="Y221" s="212"/>
      <c r="Z221" s="212"/>
      <c r="AA221" s="219"/>
      <c r="AB221" s="216"/>
      <c r="AC221" s="216"/>
      <c r="AD221" s="216"/>
      <c r="AE221" s="216"/>
      <c r="AF221" s="212"/>
      <c r="AG221" s="212"/>
      <c r="AH221" s="212"/>
      <c r="AI221" s="216"/>
      <c r="AJ221" s="216"/>
      <c r="AK221" s="216"/>
      <c r="AL221" s="216"/>
      <c r="AM221" s="216"/>
      <c r="AN221" s="216"/>
      <c r="AO221" s="216"/>
      <c r="AP221" s="217"/>
      <c r="AQ221" s="212"/>
      <c r="AR221" s="212"/>
      <c r="AS221" s="212"/>
      <c r="AT221" s="212"/>
      <c r="AU221" s="212"/>
      <c r="AV221" s="212"/>
      <c r="AW221" s="212"/>
      <c r="AX221" s="212"/>
      <c r="AY221" s="212"/>
      <c r="AZ221" s="212"/>
      <c r="BA221" s="212"/>
      <c r="BB221" s="212"/>
      <c r="BC221" s="212"/>
      <c r="BD221" s="212"/>
      <c r="BE221" s="212"/>
      <c r="BF221" s="216"/>
      <c r="BG221" s="212"/>
    </row>
    <row r="222" spans="1:59" ht="15.75" customHeight="1" x14ac:dyDescent="0.25">
      <c r="A222" s="212"/>
      <c r="B222" s="212"/>
      <c r="C222" s="212"/>
      <c r="D222" s="212"/>
      <c r="E222" s="216"/>
      <c r="F222" s="216"/>
      <c r="G222" s="269"/>
      <c r="H222" s="216"/>
      <c r="I222" s="218"/>
      <c r="J222" s="212"/>
      <c r="K222" s="212"/>
      <c r="L222" s="212"/>
      <c r="M222" s="212"/>
      <c r="N222" s="212"/>
      <c r="O222" s="217"/>
      <c r="P222" s="217"/>
      <c r="Q222" s="212"/>
      <c r="R222" s="212"/>
      <c r="S222" s="217"/>
      <c r="T222" s="217"/>
      <c r="U222" s="212"/>
      <c r="V222" s="212"/>
      <c r="W222" s="212"/>
      <c r="X222" s="212"/>
      <c r="Y222" s="212"/>
      <c r="Z222" s="212"/>
      <c r="AA222" s="219"/>
      <c r="AB222" s="216"/>
      <c r="AC222" s="216"/>
      <c r="AD222" s="216"/>
      <c r="AE222" s="216"/>
      <c r="AF222" s="212"/>
      <c r="AG222" s="212"/>
      <c r="AH222" s="212"/>
      <c r="AI222" s="216"/>
      <c r="AJ222" s="216"/>
      <c r="AK222" s="216"/>
      <c r="AL222" s="216"/>
      <c r="AM222" s="216"/>
      <c r="AN222" s="216"/>
      <c r="AO222" s="216"/>
      <c r="AP222" s="217"/>
      <c r="AQ222" s="212"/>
      <c r="AR222" s="212"/>
      <c r="AS222" s="212"/>
      <c r="AT222" s="212"/>
      <c r="AU222" s="212"/>
      <c r="AV222" s="212"/>
      <c r="AW222" s="212"/>
      <c r="AX222" s="212"/>
      <c r="AY222" s="212"/>
      <c r="AZ222" s="212"/>
      <c r="BA222" s="212"/>
      <c r="BB222" s="212"/>
      <c r="BC222" s="212"/>
      <c r="BD222" s="212"/>
      <c r="BE222" s="212"/>
      <c r="BF222" s="216"/>
      <c r="BG222" s="212"/>
    </row>
    <row r="223" spans="1:59" ht="15.75" customHeight="1" x14ac:dyDescent="0.25">
      <c r="A223" s="212"/>
      <c r="B223" s="212"/>
      <c r="C223" s="212"/>
      <c r="D223" s="212"/>
      <c r="E223" s="216"/>
      <c r="F223" s="216"/>
      <c r="G223" s="269"/>
      <c r="H223" s="216"/>
      <c r="I223" s="218"/>
      <c r="J223" s="212"/>
      <c r="K223" s="212"/>
      <c r="L223" s="212"/>
      <c r="M223" s="212"/>
      <c r="N223" s="212"/>
      <c r="O223" s="217"/>
      <c r="P223" s="217"/>
      <c r="Q223" s="212"/>
      <c r="R223" s="212"/>
      <c r="S223" s="217"/>
      <c r="T223" s="217"/>
      <c r="U223" s="212"/>
      <c r="V223" s="212"/>
      <c r="W223" s="212"/>
      <c r="X223" s="212"/>
      <c r="Y223" s="212"/>
      <c r="Z223" s="212"/>
      <c r="AA223" s="219"/>
      <c r="AB223" s="216"/>
      <c r="AC223" s="216"/>
      <c r="AD223" s="216"/>
      <c r="AE223" s="216"/>
      <c r="AF223" s="212"/>
      <c r="AG223" s="212"/>
      <c r="AH223" s="212"/>
      <c r="AI223" s="216"/>
      <c r="AJ223" s="216"/>
      <c r="AK223" s="216"/>
      <c r="AL223" s="216"/>
      <c r="AM223" s="216"/>
      <c r="AN223" s="216"/>
      <c r="AO223" s="216"/>
      <c r="AP223" s="217"/>
      <c r="AQ223" s="212"/>
      <c r="AR223" s="212"/>
      <c r="AS223" s="212"/>
      <c r="AT223" s="212"/>
      <c r="AU223" s="212"/>
      <c r="AV223" s="212"/>
      <c r="AW223" s="212"/>
      <c r="AX223" s="212"/>
      <c r="AY223" s="212"/>
      <c r="AZ223" s="212"/>
      <c r="BA223" s="212"/>
      <c r="BB223" s="212"/>
      <c r="BC223" s="212"/>
      <c r="BD223" s="212"/>
      <c r="BE223" s="212"/>
      <c r="BF223" s="216"/>
      <c r="BG223" s="212"/>
    </row>
    <row r="224" spans="1:59" ht="15.75" customHeight="1" x14ac:dyDescent="0.25">
      <c r="A224" s="212"/>
      <c r="B224" s="212"/>
      <c r="C224" s="212"/>
      <c r="D224" s="212"/>
      <c r="E224" s="216"/>
      <c r="F224" s="216"/>
      <c r="G224" s="269"/>
      <c r="H224" s="216"/>
      <c r="I224" s="218"/>
      <c r="J224" s="212"/>
      <c r="K224" s="212"/>
      <c r="L224" s="212"/>
      <c r="M224" s="212"/>
      <c r="N224" s="212"/>
      <c r="O224" s="217"/>
      <c r="P224" s="217"/>
      <c r="Q224" s="212"/>
      <c r="R224" s="212"/>
      <c r="S224" s="217"/>
      <c r="T224" s="217"/>
      <c r="U224" s="212"/>
      <c r="V224" s="212"/>
      <c r="W224" s="212"/>
      <c r="X224" s="212"/>
      <c r="Y224" s="212"/>
      <c r="Z224" s="212"/>
      <c r="AA224" s="219"/>
      <c r="AB224" s="216"/>
      <c r="AC224" s="216"/>
      <c r="AD224" s="216"/>
      <c r="AE224" s="216"/>
      <c r="AF224" s="212"/>
      <c r="AG224" s="212"/>
      <c r="AH224" s="212"/>
      <c r="AI224" s="216"/>
      <c r="AJ224" s="216"/>
      <c r="AK224" s="216"/>
      <c r="AL224" s="216"/>
      <c r="AM224" s="216"/>
      <c r="AN224" s="216"/>
      <c r="AO224" s="216"/>
      <c r="AP224" s="217"/>
      <c r="AQ224" s="212"/>
      <c r="AR224" s="212"/>
      <c r="AS224" s="212"/>
      <c r="AT224" s="212"/>
      <c r="AU224" s="212"/>
      <c r="AV224" s="212"/>
      <c r="AW224" s="212"/>
      <c r="AX224" s="212"/>
      <c r="AY224" s="212"/>
      <c r="AZ224" s="212"/>
      <c r="BA224" s="212"/>
      <c r="BB224" s="212"/>
      <c r="BC224" s="212"/>
      <c r="BD224" s="212"/>
      <c r="BE224" s="212"/>
      <c r="BF224" s="216"/>
      <c r="BG224" s="212"/>
    </row>
    <row r="225" spans="1:59" ht="15.75" customHeight="1" x14ac:dyDescent="0.25">
      <c r="A225" s="212"/>
      <c r="B225" s="212"/>
      <c r="C225" s="212"/>
      <c r="D225" s="212"/>
      <c r="E225" s="216"/>
      <c r="F225" s="216"/>
      <c r="G225" s="269"/>
      <c r="H225" s="216"/>
      <c r="I225" s="218"/>
      <c r="J225" s="212"/>
      <c r="K225" s="212"/>
      <c r="L225" s="212"/>
      <c r="M225" s="212"/>
      <c r="N225" s="212"/>
      <c r="O225" s="217"/>
      <c r="P225" s="217"/>
      <c r="Q225" s="212"/>
      <c r="R225" s="212"/>
      <c r="S225" s="217"/>
      <c r="T225" s="217"/>
      <c r="U225" s="212"/>
      <c r="V225" s="212"/>
      <c r="W225" s="212"/>
      <c r="X225" s="212"/>
      <c r="Y225" s="212"/>
      <c r="Z225" s="212"/>
      <c r="AA225" s="219"/>
      <c r="AB225" s="216"/>
      <c r="AC225" s="216"/>
      <c r="AD225" s="216"/>
      <c r="AE225" s="216"/>
      <c r="AF225" s="212"/>
      <c r="AG225" s="212"/>
      <c r="AH225" s="212"/>
      <c r="AI225" s="216"/>
      <c r="AJ225" s="216"/>
      <c r="AK225" s="216"/>
      <c r="AL225" s="216"/>
      <c r="AM225" s="216"/>
      <c r="AN225" s="216"/>
      <c r="AO225" s="216"/>
      <c r="AP225" s="217"/>
      <c r="AQ225" s="212"/>
      <c r="AR225" s="212"/>
      <c r="AS225" s="212"/>
      <c r="AT225" s="212"/>
      <c r="AU225" s="212"/>
      <c r="AV225" s="212"/>
      <c r="AW225" s="212"/>
      <c r="AX225" s="212"/>
      <c r="AY225" s="212"/>
      <c r="AZ225" s="212"/>
      <c r="BA225" s="212"/>
      <c r="BB225" s="212"/>
      <c r="BC225" s="212"/>
      <c r="BD225" s="212"/>
      <c r="BE225" s="212"/>
      <c r="BF225" s="216"/>
      <c r="BG225" s="212"/>
    </row>
    <row r="226" spans="1:59" ht="15.75" customHeight="1" x14ac:dyDescent="0.25">
      <c r="A226" s="212"/>
      <c r="B226" s="212"/>
      <c r="C226" s="212"/>
      <c r="D226" s="212"/>
      <c r="E226" s="216"/>
      <c r="F226" s="216"/>
      <c r="G226" s="269"/>
      <c r="H226" s="216"/>
      <c r="I226" s="218"/>
      <c r="J226" s="212"/>
      <c r="K226" s="212"/>
      <c r="L226" s="212"/>
      <c r="M226" s="212"/>
      <c r="N226" s="212"/>
      <c r="O226" s="217"/>
      <c r="P226" s="217"/>
      <c r="Q226" s="212"/>
      <c r="R226" s="212"/>
      <c r="S226" s="217"/>
      <c r="T226" s="217"/>
      <c r="U226" s="212"/>
      <c r="V226" s="212"/>
      <c r="W226" s="212"/>
      <c r="X226" s="212"/>
      <c r="Y226" s="212"/>
      <c r="Z226" s="212"/>
      <c r="AA226" s="219"/>
      <c r="AB226" s="216"/>
      <c r="AC226" s="216"/>
      <c r="AD226" s="216"/>
      <c r="AE226" s="216"/>
      <c r="AF226" s="212"/>
      <c r="AG226" s="212"/>
      <c r="AH226" s="212"/>
      <c r="AI226" s="216"/>
      <c r="AJ226" s="216"/>
      <c r="AK226" s="216"/>
      <c r="AL226" s="216"/>
      <c r="AM226" s="216"/>
      <c r="AN226" s="216"/>
      <c r="AO226" s="216"/>
      <c r="AP226" s="217"/>
      <c r="AQ226" s="212"/>
      <c r="AR226" s="212"/>
      <c r="AS226" s="212"/>
      <c r="AT226" s="212"/>
      <c r="AU226" s="212"/>
      <c r="AV226" s="212"/>
      <c r="AW226" s="212"/>
      <c r="AX226" s="212"/>
      <c r="AY226" s="212"/>
      <c r="AZ226" s="212"/>
      <c r="BA226" s="212"/>
      <c r="BB226" s="212"/>
      <c r="BC226" s="212"/>
      <c r="BD226" s="212"/>
      <c r="BE226" s="212"/>
      <c r="BF226" s="216"/>
      <c r="BG226" s="212"/>
    </row>
    <row r="227" spans="1:59" ht="15.75" customHeight="1" x14ac:dyDescent="0.25">
      <c r="A227" s="212"/>
      <c r="B227" s="212"/>
      <c r="C227" s="212"/>
      <c r="D227" s="212"/>
      <c r="E227" s="216"/>
      <c r="F227" s="216"/>
      <c r="G227" s="269"/>
      <c r="H227" s="216"/>
      <c r="I227" s="218"/>
      <c r="J227" s="212"/>
      <c r="K227" s="212"/>
      <c r="L227" s="212"/>
      <c r="M227" s="212"/>
      <c r="N227" s="212"/>
      <c r="O227" s="217"/>
      <c r="P227" s="217"/>
      <c r="Q227" s="212"/>
      <c r="R227" s="212"/>
      <c r="S227" s="217"/>
      <c r="T227" s="217"/>
      <c r="U227" s="212"/>
      <c r="V227" s="212"/>
      <c r="W227" s="212"/>
      <c r="X227" s="212"/>
      <c r="Y227" s="212"/>
      <c r="Z227" s="212"/>
      <c r="AA227" s="219"/>
      <c r="AB227" s="216"/>
      <c r="AC227" s="216"/>
      <c r="AD227" s="216"/>
      <c r="AE227" s="216"/>
      <c r="AF227" s="212"/>
      <c r="AG227" s="212"/>
      <c r="AH227" s="212"/>
      <c r="AI227" s="216"/>
      <c r="AJ227" s="216"/>
      <c r="AK227" s="216"/>
      <c r="AL227" s="216"/>
      <c r="AM227" s="216"/>
      <c r="AN227" s="216"/>
      <c r="AO227" s="216"/>
      <c r="AP227" s="217"/>
      <c r="AQ227" s="212"/>
      <c r="AR227" s="212"/>
      <c r="AS227" s="212"/>
      <c r="AT227" s="212"/>
      <c r="AU227" s="212"/>
      <c r="AV227" s="212"/>
      <c r="AW227" s="212"/>
      <c r="AX227" s="212"/>
      <c r="AY227" s="212"/>
      <c r="AZ227" s="212"/>
      <c r="BA227" s="212"/>
      <c r="BB227" s="212"/>
      <c r="BC227" s="212"/>
      <c r="BD227" s="212"/>
      <c r="BE227" s="212"/>
      <c r="BF227" s="216"/>
      <c r="BG227" s="212"/>
    </row>
    <row r="228" spans="1:59" ht="15.75" customHeight="1" x14ac:dyDescent="0.25">
      <c r="A228" s="212"/>
      <c r="B228" s="212"/>
      <c r="C228" s="212"/>
      <c r="D228" s="212"/>
      <c r="E228" s="216"/>
      <c r="F228" s="216"/>
      <c r="G228" s="269"/>
      <c r="H228" s="216"/>
      <c r="I228" s="218"/>
      <c r="J228" s="212"/>
      <c r="K228" s="212"/>
      <c r="L228" s="212"/>
      <c r="M228" s="212"/>
      <c r="N228" s="212"/>
      <c r="O228" s="217"/>
      <c r="P228" s="217"/>
      <c r="Q228" s="212"/>
      <c r="R228" s="212"/>
      <c r="S228" s="217"/>
      <c r="T228" s="217"/>
      <c r="U228" s="212"/>
      <c r="V228" s="212"/>
      <c r="W228" s="212"/>
      <c r="X228" s="212"/>
      <c r="Y228" s="212"/>
      <c r="Z228" s="212"/>
      <c r="AA228" s="219"/>
      <c r="AB228" s="216"/>
      <c r="AC228" s="216"/>
      <c r="AD228" s="216"/>
      <c r="AE228" s="216"/>
      <c r="AF228" s="212"/>
      <c r="AG228" s="212"/>
      <c r="AH228" s="212"/>
      <c r="AI228" s="216"/>
      <c r="AJ228" s="216"/>
      <c r="AK228" s="216"/>
      <c r="AL228" s="216"/>
      <c r="AM228" s="216"/>
      <c r="AN228" s="216"/>
      <c r="AO228" s="216"/>
      <c r="AP228" s="217"/>
      <c r="AQ228" s="212"/>
      <c r="AR228" s="212"/>
      <c r="AS228" s="212"/>
      <c r="AT228" s="212"/>
      <c r="AU228" s="212"/>
      <c r="AV228" s="212"/>
      <c r="AW228" s="212"/>
      <c r="AX228" s="212"/>
      <c r="AY228" s="212"/>
      <c r="AZ228" s="212"/>
      <c r="BA228" s="212"/>
      <c r="BB228" s="212"/>
      <c r="BC228" s="212"/>
      <c r="BD228" s="212"/>
      <c r="BE228" s="212"/>
      <c r="BF228" s="216"/>
      <c r="BG228" s="212"/>
    </row>
    <row r="229" spans="1:59" ht="15.75" customHeight="1" x14ac:dyDescent="0.25">
      <c r="A229" s="212"/>
      <c r="B229" s="212"/>
      <c r="C229" s="212"/>
      <c r="D229" s="212"/>
      <c r="E229" s="216"/>
      <c r="F229" s="216"/>
      <c r="G229" s="269"/>
      <c r="H229" s="216"/>
      <c r="I229" s="218"/>
      <c r="J229" s="212"/>
      <c r="K229" s="212"/>
      <c r="L229" s="212"/>
      <c r="M229" s="212"/>
      <c r="N229" s="212"/>
      <c r="O229" s="217"/>
      <c r="P229" s="217"/>
      <c r="Q229" s="212"/>
      <c r="R229" s="212"/>
      <c r="S229" s="217"/>
      <c r="T229" s="217"/>
      <c r="U229" s="212"/>
      <c r="V229" s="212"/>
      <c r="W229" s="212"/>
      <c r="X229" s="212"/>
      <c r="Y229" s="212"/>
      <c r="Z229" s="212"/>
      <c r="AA229" s="219"/>
      <c r="AB229" s="216"/>
      <c r="AC229" s="216"/>
      <c r="AD229" s="216"/>
      <c r="AE229" s="216"/>
      <c r="AF229" s="212"/>
      <c r="AG229" s="212"/>
      <c r="AH229" s="212"/>
      <c r="AI229" s="216"/>
      <c r="AJ229" s="216"/>
      <c r="AK229" s="216"/>
      <c r="AL229" s="216"/>
      <c r="AM229" s="216"/>
      <c r="AN229" s="216"/>
      <c r="AO229" s="216"/>
      <c r="AP229" s="217"/>
      <c r="AQ229" s="212"/>
      <c r="AR229" s="212"/>
      <c r="AS229" s="212"/>
      <c r="AT229" s="212"/>
      <c r="AU229" s="212"/>
      <c r="AV229" s="212"/>
      <c r="AW229" s="212"/>
      <c r="AX229" s="212"/>
      <c r="AY229" s="212"/>
      <c r="AZ229" s="212"/>
      <c r="BA229" s="212"/>
      <c r="BB229" s="212"/>
      <c r="BC229" s="212"/>
      <c r="BD229" s="212"/>
      <c r="BE229" s="212"/>
      <c r="BF229" s="216"/>
      <c r="BG229" s="212"/>
    </row>
    <row r="230" spans="1:59" ht="15.75" customHeight="1" x14ac:dyDescent="0.25">
      <c r="A230" s="212"/>
      <c r="B230" s="212"/>
      <c r="C230" s="212"/>
      <c r="D230" s="212"/>
      <c r="E230" s="216"/>
      <c r="F230" s="216"/>
      <c r="G230" s="269"/>
      <c r="H230" s="216"/>
      <c r="I230" s="218"/>
      <c r="J230" s="212"/>
      <c r="K230" s="212"/>
      <c r="L230" s="212"/>
      <c r="M230" s="212"/>
      <c r="N230" s="212"/>
      <c r="O230" s="217"/>
      <c r="P230" s="217"/>
      <c r="Q230" s="212"/>
      <c r="R230" s="212"/>
      <c r="S230" s="217"/>
      <c r="T230" s="217"/>
      <c r="U230" s="212"/>
      <c r="V230" s="212"/>
      <c r="W230" s="212"/>
      <c r="X230" s="212"/>
      <c r="Y230" s="212"/>
      <c r="Z230" s="212"/>
      <c r="AA230" s="219"/>
      <c r="AB230" s="216"/>
      <c r="AC230" s="216"/>
      <c r="AD230" s="216"/>
      <c r="AE230" s="216"/>
      <c r="AF230" s="212"/>
      <c r="AG230" s="212"/>
      <c r="AH230" s="212"/>
      <c r="AI230" s="216"/>
      <c r="AJ230" s="216"/>
      <c r="AK230" s="216"/>
      <c r="AL230" s="216"/>
      <c r="AM230" s="216"/>
      <c r="AN230" s="216"/>
      <c r="AO230" s="216"/>
      <c r="AP230" s="217"/>
      <c r="AQ230" s="212"/>
      <c r="AR230" s="212"/>
      <c r="AS230" s="212"/>
      <c r="AT230" s="212"/>
      <c r="AU230" s="212"/>
      <c r="AV230" s="212"/>
      <c r="AW230" s="212"/>
      <c r="AX230" s="212"/>
      <c r="AY230" s="212"/>
      <c r="AZ230" s="212"/>
      <c r="BA230" s="212"/>
      <c r="BB230" s="212"/>
      <c r="BC230" s="212"/>
      <c r="BD230" s="212"/>
      <c r="BE230" s="212"/>
      <c r="BF230" s="216"/>
      <c r="BG230" s="212"/>
    </row>
    <row r="231" spans="1:59" ht="15.75" customHeight="1" x14ac:dyDescent="0.25">
      <c r="A231" s="212"/>
      <c r="B231" s="212"/>
      <c r="C231" s="212"/>
      <c r="D231" s="212"/>
      <c r="E231" s="216"/>
      <c r="F231" s="216"/>
      <c r="G231" s="269"/>
      <c r="H231" s="216"/>
      <c r="I231" s="218"/>
      <c r="J231" s="212"/>
      <c r="K231" s="212"/>
      <c r="L231" s="212"/>
      <c r="M231" s="212"/>
      <c r="N231" s="212"/>
      <c r="O231" s="217"/>
      <c r="P231" s="217"/>
      <c r="Q231" s="212"/>
      <c r="R231" s="212"/>
      <c r="S231" s="217"/>
      <c r="T231" s="217"/>
      <c r="U231" s="212"/>
      <c r="V231" s="212"/>
      <c r="W231" s="212"/>
      <c r="X231" s="212"/>
      <c r="Y231" s="212"/>
      <c r="Z231" s="212"/>
      <c r="AA231" s="219"/>
      <c r="AB231" s="216"/>
      <c r="AC231" s="216"/>
      <c r="AD231" s="216"/>
      <c r="AE231" s="216"/>
      <c r="AF231" s="212"/>
      <c r="AG231" s="212"/>
      <c r="AH231" s="212"/>
      <c r="AI231" s="216"/>
      <c r="AJ231" s="216"/>
      <c r="AK231" s="216"/>
      <c r="AL231" s="216"/>
      <c r="AM231" s="216"/>
      <c r="AN231" s="216"/>
      <c r="AO231" s="216"/>
      <c r="AP231" s="217"/>
      <c r="AQ231" s="212"/>
      <c r="AR231" s="212"/>
      <c r="AS231" s="212"/>
      <c r="AT231" s="212"/>
      <c r="AU231" s="212"/>
      <c r="AV231" s="212"/>
      <c r="AW231" s="212"/>
      <c r="AX231" s="212"/>
      <c r="AY231" s="212"/>
      <c r="AZ231" s="212"/>
      <c r="BA231" s="212"/>
      <c r="BB231" s="212"/>
      <c r="BC231" s="212"/>
      <c r="BD231" s="212"/>
      <c r="BE231" s="212"/>
      <c r="BF231" s="216"/>
      <c r="BG231" s="212"/>
    </row>
    <row r="232" spans="1:59" ht="15.75" customHeight="1" x14ac:dyDescent="0.25">
      <c r="A232" s="212"/>
      <c r="B232" s="212"/>
      <c r="C232" s="212"/>
      <c r="D232" s="212"/>
      <c r="E232" s="216"/>
      <c r="F232" s="216"/>
      <c r="G232" s="269"/>
      <c r="H232" s="216"/>
      <c r="I232" s="218"/>
      <c r="J232" s="212"/>
      <c r="K232" s="212"/>
      <c r="L232" s="212"/>
      <c r="M232" s="212"/>
      <c r="N232" s="212"/>
      <c r="O232" s="217"/>
      <c r="P232" s="217"/>
      <c r="Q232" s="212"/>
      <c r="R232" s="212"/>
      <c r="S232" s="217"/>
      <c r="T232" s="217"/>
      <c r="U232" s="212"/>
      <c r="V232" s="212"/>
      <c r="W232" s="212"/>
      <c r="X232" s="212"/>
      <c r="Y232" s="212"/>
      <c r="Z232" s="212"/>
      <c r="AA232" s="219"/>
      <c r="AB232" s="216"/>
      <c r="AC232" s="216"/>
      <c r="AD232" s="216"/>
      <c r="AE232" s="216"/>
      <c r="AF232" s="212"/>
      <c r="AG232" s="212"/>
      <c r="AH232" s="212"/>
      <c r="AI232" s="216"/>
      <c r="AJ232" s="216"/>
      <c r="AK232" s="216"/>
      <c r="AL232" s="216"/>
      <c r="AM232" s="216"/>
      <c r="AN232" s="216"/>
      <c r="AO232" s="216"/>
      <c r="AP232" s="217"/>
      <c r="AQ232" s="212"/>
      <c r="AR232" s="212"/>
      <c r="AS232" s="212"/>
      <c r="AT232" s="212"/>
      <c r="AU232" s="212"/>
      <c r="AV232" s="212"/>
      <c r="AW232" s="212"/>
      <c r="AX232" s="212"/>
      <c r="AY232" s="212"/>
      <c r="AZ232" s="212"/>
      <c r="BA232" s="212"/>
      <c r="BB232" s="212"/>
      <c r="BC232" s="212"/>
      <c r="BD232" s="212"/>
      <c r="BE232" s="212"/>
      <c r="BF232" s="216"/>
      <c r="BG232" s="212"/>
    </row>
    <row r="233" spans="1:59" ht="15.75" customHeight="1" x14ac:dyDescent="0.25">
      <c r="A233" s="212"/>
      <c r="B233" s="212"/>
      <c r="C233" s="212"/>
      <c r="D233" s="212"/>
      <c r="E233" s="216"/>
      <c r="F233" s="216"/>
      <c r="G233" s="269"/>
      <c r="H233" s="216"/>
      <c r="I233" s="218"/>
      <c r="J233" s="212"/>
      <c r="K233" s="212"/>
      <c r="L233" s="212"/>
      <c r="M233" s="212"/>
      <c r="N233" s="212"/>
      <c r="O233" s="217"/>
      <c r="P233" s="217"/>
      <c r="Q233" s="212"/>
      <c r="R233" s="212"/>
      <c r="S233" s="217"/>
      <c r="T233" s="217"/>
      <c r="U233" s="212"/>
      <c r="V233" s="212"/>
      <c r="W233" s="212"/>
      <c r="X233" s="212"/>
      <c r="Y233" s="212"/>
      <c r="Z233" s="212"/>
      <c r="AA233" s="219"/>
      <c r="AB233" s="216"/>
      <c r="AC233" s="216"/>
      <c r="AD233" s="216"/>
      <c r="AE233" s="216"/>
      <c r="AF233" s="212"/>
      <c r="AG233" s="212"/>
      <c r="AH233" s="212"/>
      <c r="AI233" s="216"/>
      <c r="AJ233" s="216"/>
      <c r="AK233" s="216"/>
      <c r="AL233" s="216"/>
      <c r="AM233" s="216"/>
      <c r="AN233" s="216"/>
      <c r="AO233" s="216"/>
      <c r="AP233" s="217"/>
      <c r="AQ233" s="212"/>
      <c r="AR233" s="212"/>
      <c r="AS233" s="212"/>
      <c r="AT233" s="212"/>
      <c r="AU233" s="212"/>
      <c r="AV233" s="212"/>
      <c r="AW233" s="212"/>
      <c r="AX233" s="212"/>
      <c r="AY233" s="212"/>
      <c r="AZ233" s="212"/>
      <c r="BA233" s="212"/>
      <c r="BB233" s="212"/>
      <c r="BC233" s="212"/>
      <c r="BD233" s="212"/>
      <c r="BE233" s="212"/>
      <c r="BF233" s="216"/>
      <c r="BG233" s="212"/>
    </row>
    <row r="234" spans="1:59" ht="15.75" customHeight="1" x14ac:dyDescent="0.25">
      <c r="A234" s="212"/>
      <c r="B234" s="212"/>
      <c r="C234" s="212"/>
      <c r="D234" s="212"/>
      <c r="E234" s="216"/>
      <c r="F234" s="216"/>
      <c r="G234" s="269"/>
      <c r="H234" s="216"/>
      <c r="I234" s="218"/>
      <c r="J234" s="212"/>
      <c r="K234" s="212"/>
      <c r="L234" s="212"/>
      <c r="M234" s="212"/>
      <c r="N234" s="212"/>
      <c r="O234" s="217"/>
      <c r="P234" s="217"/>
      <c r="Q234" s="212"/>
      <c r="R234" s="212"/>
      <c r="S234" s="217"/>
      <c r="T234" s="217"/>
      <c r="U234" s="212"/>
      <c r="V234" s="212"/>
      <c r="W234" s="212"/>
      <c r="X234" s="212"/>
      <c r="Y234" s="212"/>
      <c r="Z234" s="212"/>
      <c r="AA234" s="219"/>
      <c r="AB234" s="216"/>
      <c r="AC234" s="216"/>
      <c r="AD234" s="216"/>
      <c r="AE234" s="216"/>
      <c r="AF234" s="212"/>
      <c r="AG234" s="212"/>
      <c r="AH234" s="212"/>
      <c r="AI234" s="216"/>
      <c r="AJ234" s="216"/>
      <c r="AK234" s="216"/>
      <c r="AL234" s="216"/>
      <c r="AM234" s="216"/>
      <c r="AN234" s="216"/>
      <c r="AO234" s="216"/>
      <c r="AP234" s="217"/>
      <c r="AQ234" s="212"/>
      <c r="AR234" s="212"/>
      <c r="AS234" s="212"/>
      <c r="AT234" s="212"/>
      <c r="AU234" s="212"/>
      <c r="AV234" s="212"/>
      <c r="AW234" s="212"/>
      <c r="AX234" s="212"/>
      <c r="AY234" s="212"/>
      <c r="AZ234" s="212"/>
      <c r="BA234" s="212"/>
      <c r="BB234" s="212"/>
      <c r="BC234" s="212"/>
      <c r="BD234" s="212"/>
      <c r="BE234" s="212"/>
      <c r="BF234" s="216"/>
      <c r="BG234" s="212"/>
    </row>
    <row r="235" spans="1:59" ht="15.75" customHeight="1" x14ac:dyDescent="0.25">
      <c r="A235" s="212"/>
      <c r="B235" s="212"/>
      <c r="C235" s="212"/>
      <c r="D235" s="212"/>
      <c r="E235" s="216"/>
      <c r="F235" s="216"/>
      <c r="G235" s="269"/>
      <c r="H235" s="216"/>
      <c r="I235" s="218"/>
      <c r="J235" s="212"/>
      <c r="K235" s="212"/>
      <c r="L235" s="212"/>
      <c r="M235" s="212"/>
      <c r="N235" s="212"/>
      <c r="O235" s="217"/>
      <c r="P235" s="217"/>
      <c r="Q235" s="212"/>
      <c r="R235" s="212"/>
      <c r="S235" s="217"/>
      <c r="T235" s="217"/>
      <c r="U235" s="212"/>
      <c r="V235" s="212"/>
      <c r="W235" s="212"/>
      <c r="X235" s="212"/>
      <c r="Y235" s="212"/>
      <c r="Z235" s="212"/>
      <c r="AA235" s="219"/>
      <c r="AB235" s="216"/>
      <c r="AC235" s="216"/>
      <c r="AD235" s="216"/>
      <c r="AE235" s="216"/>
      <c r="AF235" s="212"/>
      <c r="AG235" s="212"/>
      <c r="AH235" s="212"/>
      <c r="AI235" s="216"/>
      <c r="AJ235" s="216"/>
      <c r="AK235" s="216"/>
      <c r="AL235" s="216"/>
      <c r="AM235" s="216"/>
      <c r="AN235" s="216"/>
      <c r="AO235" s="216"/>
      <c r="AP235" s="217"/>
      <c r="AQ235" s="212"/>
      <c r="AR235" s="212"/>
      <c r="AS235" s="212"/>
      <c r="AT235" s="212"/>
      <c r="AU235" s="212"/>
      <c r="AV235" s="212"/>
      <c r="AW235" s="212"/>
      <c r="AX235" s="212"/>
      <c r="AY235" s="212"/>
      <c r="AZ235" s="212"/>
      <c r="BA235" s="212"/>
      <c r="BB235" s="212"/>
      <c r="BC235" s="212"/>
      <c r="BD235" s="212"/>
      <c r="BE235" s="212"/>
      <c r="BF235" s="216"/>
      <c r="BG235" s="212"/>
    </row>
    <row r="236" spans="1:59" ht="15.75" customHeight="1" x14ac:dyDescent="0.25">
      <c r="A236" s="212"/>
      <c r="B236" s="212"/>
      <c r="C236" s="212"/>
      <c r="D236" s="212"/>
      <c r="E236" s="216"/>
      <c r="F236" s="216"/>
      <c r="G236" s="269"/>
      <c r="H236" s="216"/>
      <c r="I236" s="218"/>
      <c r="J236" s="212"/>
      <c r="K236" s="212"/>
      <c r="L236" s="212"/>
      <c r="M236" s="212"/>
      <c r="N236" s="212"/>
      <c r="O236" s="217"/>
      <c r="P236" s="217"/>
      <c r="Q236" s="212"/>
      <c r="R236" s="212"/>
      <c r="S236" s="217"/>
      <c r="T236" s="217"/>
      <c r="U236" s="212"/>
      <c r="V236" s="212"/>
      <c r="W236" s="212"/>
      <c r="X236" s="212"/>
      <c r="Y236" s="212"/>
      <c r="Z236" s="212"/>
      <c r="AA236" s="219"/>
      <c r="AB236" s="216"/>
      <c r="AC236" s="216"/>
      <c r="AD236" s="216"/>
      <c r="AE236" s="216"/>
      <c r="AF236" s="212"/>
      <c r="AG236" s="212"/>
      <c r="AH236" s="212"/>
      <c r="AI236" s="216"/>
      <c r="AJ236" s="216"/>
      <c r="AK236" s="216"/>
      <c r="AL236" s="216"/>
      <c r="AM236" s="216"/>
      <c r="AN236" s="216"/>
      <c r="AO236" s="216"/>
      <c r="AP236" s="217"/>
      <c r="AQ236" s="212"/>
      <c r="AR236" s="212"/>
      <c r="AS236" s="212"/>
      <c r="AT236" s="212"/>
      <c r="AU236" s="212"/>
      <c r="AV236" s="212"/>
      <c r="AW236" s="212"/>
      <c r="AX236" s="212"/>
      <c r="AY236" s="212"/>
      <c r="AZ236" s="212"/>
      <c r="BA236" s="212"/>
      <c r="BB236" s="212"/>
      <c r="BC236" s="212"/>
      <c r="BD236" s="212"/>
      <c r="BE236" s="212"/>
      <c r="BF236" s="216"/>
      <c r="BG236" s="212"/>
    </row>
    <row r="237" spans="1:59" ht="15.75" customHeight="1" x14ac:dyDescent="0.25">
      <c r="A237" s="212"/>
      <c r="B237" s="212"/>
      <c r="C237" s="212"/>
      <c r="D237" s="212"/>
      <c r="E237" s="216"/>
      <c r="F237" s="216"/>
      <c r="G237" s="269"/>
      <c r="H237" s="216"/>
      <c r="I237" s="218"/>
      <c r="J237" s="212"/>
      <c r="K237" s="212"/>
      <c r="L237" s="212"/>
      <c r="M237" s="212"/>
      <c r="N237" s="212"/>
      <c r="O237" s="217"/>
      <c r="P237" s="217"/>
      <c r="Q237" s="212"/>
      <c r="R237" s="212"/>
      <c r="S237" s="217"/>
      <c r="T237" s="217"/>
      <c r="U237" s="212"/>
      <c r="V237" s="212"/>
      <c r="W237" s="212"/>
      <c r="X237" s="212"/>
      <c r="Y237" s="212"/>
      <c r="Z237" s="212"/>
      <c r="AA237" s="219"/>
      <c r="AB237" s="216"/>
      <c r="AC237" s="216"/>
      <c r="AD237" s="216"/>
      <c r="AE237" s="216"/>
      <c r="AF237" s="212"/>
      <c r="AG237" s="212"/>
      <c r="AH237" s="212"/>
      <c r="AI237" s="216"/>
      <c r="AJ237" s="216"/>
      <c r="AK237" s="216"/>
      <c r="AL237" s="216"/>
      <c r="AM237" s="216"/>
      <c r="AN237" s="216"/>
      <c r="AO237" s="216"/>
      <c r="AP237" s="217"/>
      <c r="AQ237" s="212"/>
      <c r="AR237" s="212"/>
      <c r="AS237" s="212"/>
      <c r="AT237" s="212"/>
      <c r="AU237" s="212"/>
      <c r="AV237" s="212"/>
      <c r="AW237" s="212"/>
      <c r="AX237" s="212"/>
      <c r="AY237" s="212"/>
      <c r="AZ237" s="212"/>
      <c r="BA237" s="212"/>
      <c r="BB237" s="212"/>
      <c r="BC237" s="212"/>
      <c r="BD237" s="212"/>
      <c r="BE237" s="212"/>
      <c r="BF237" s="216"/>
      <c r="BG237" s="212"/>
    </row>
    <row r="238" spans="1:59" ht="15.75" customHeight="1" x14ac:dyDescent="0.25">
      <c r="A238" s="212"/>
      <c r="B238" s="212"/>
      <c r="C238" s="212"/>
      <c r="D238" s="212"/>
      <c r="E238" s="216"/>
      <c r="F238" s="216"/>
      <c r="G238" s="269"/>
      <c r="H238" s="216"/>
      <c r="I238" s="218"/>
      <c r="J238" s="212"/>
      <c r="K238" s="212"/>
      <c r="L238" s="212"/>
      <c r="M238" s="212"/>
      <c r="N238" s="212"/>
      <c r="O238" s="217"/>
      <c r="P238" s="217"/>
      <c r="Q238" s="212"/>
      <c r="R238" s="212"/>
      <c r="S238" s="217"/>
      <c r="T238" s="217"/>
      <c r="U238" s="212"/>
      <c r="V238" s="212"/>
      <c r="W238" s="212"/>
      <c r="X238" s="212"/>
      <c r="Y238" s="212"/>
      <c r="Z238" s="212"/>
      <c r="AA238" s="219"/>
      <c r="AB238" s="216"/>
      <c r="AC238" s="216"/>
      <c r="AD238" s="216"/>
      <c r="AE238" s="216"/>
      <c r="AF238" s="212"/>
      <c r="AG238" s="212"/>
      <c r="AH238" s="212"/>
      <c r="AI238" s="216"/>
      <c r="AJ238" s="216"/>
      <c r="AK238" s="216"/>
      <c r="AL238" s="216"/>
      <c r="AM238" s="216"/>
      <c r="AN238" s="216"/>
      <c r="AO238" s="216"/>
      <c r="AP238" s="217"/>
      <c r="AQ238" s="212"/>
      <c r="AR238" s="212"/>
      <c r="AS238" s="212"/>
      <c r="AT238" s="212"/>
      <c r="AU238" s="212"/>
      <c r="AV238" s="212"/>
      <c r="AW238" s="212"/>
      <c r="AX238" s="212"/>
      <c r="AY238" s="212"/>
      <c r="AZ238" s="212"/>
      <c r="BA238" s="212"/>
      <c r="BB238" s="212"/>
      <c r="BC238" s="212"/>
      <c r="BD238" s="212"/>
      <c r="BE238" s="212"/>
      <c r="BF238" s="216"/>
      <c r="BG238" s="212"/>
    </row>
    <row r="239" spans="1:59" ht="15.75" customHeight="1" x14ac:dyDescent="0.25">
      <c r="A239" s="212"/>
      <c r="B239" s="212"/>
      <c r="C239" s="212"/>
      <c r="D239" s="212"/>
      <c r="E239" s="216"/>
      <c r="F239" s="216"/>
      <c r="G239" s="269"/>
      <c r="H239" s="216"/>
      <c r="I239" s="218"/>
      <c r="J239" s="212"/>
      <c r="K239" s="212"/>
      <c r="L239" s="212"/>
      <c r="M239" s="212"/>
      <c r="N239" s="212"/>
      <c r="O239" s="217"/>
      <c r="P239" s="217"/>
      <c r="Q239" s="212"/>
      <c r="R239" s="212"/>
      <c r="S239" s="217"/>
      <c r="T239" s="217"/>
      <c r="U239" s="212"/>
      <c r="V239" s="212"/>
      <c r="W239" s="212"/>
      <c r="X239" s="212"/>
      <c r="Y239" s="212"/>
      <c r="Z239" s="212"/>
      <c r="AA239" s="219"/>
      <c r="AB239" s="216"/>
      <c r="AC239" s="216"/>
      <c r="AD239" s="216"/>
      <c r="AE239" s="216"/>
      <c r="AF239" s="212"/>
      <c r="AG239" s="212"/>
      <c r="AH239" s="212"/>
      <c r="AI239" s="216"/>
      <c r="AJ239" s="216"/>
      <c r="AK239" s="216"/>
      <c r="AL239" s="216"/>
      <c r="AM239" s="216"/>
      <c r="AN239" s="216"/>
      <c r="AO239" s="216"/>
      <c r="AP239" s="217"/>
      <c r="AQ239" s="212"/>
      <c r="AR239" s="212"/>
      <c r="AS239" s="212"/>
      <c r="AT239" s="212"/>
      <c r="AU239" s="212"/>
      <c r="AV239" s="212"/>
      <c r="AW239" s="212"/>
      <c r="AX239" s="212"/>
      <c r="AY239" s="212"/>
      <c r="AZ239" s="212"/>
      <c r="BA239" s="212"/>
      <c r="BB239" s="212"/>
      <c r="BC239" s="212"/>
      <c r="BD239" s="212"/>
      <c r="BE239" s="212"/>
      <c r="BF239" s="216"/>
      <c r="BG239" s="212"/>
    </row>
    <row r="240" spans="1:59" ht="15.75" customHeight="1" x14ac:dyDescent="0.25">
      <c r="A240" s="212"/>
      <c r="B240" s="212"/>
      <c r="C240" s="212"/>
      <c r="D240" s="212"/>
      <c r="E240" s="216"/>
      <c r="F240" s="216"/>
      <c r="G240" s="269"/>
      <c r="H240" s="216"/>
      <c r="I240" s="218"/>
      <c r="J240" s="212"/>
      <c r="K240" s="212"/>
      <c r="L240" s="212"/>
      <c r="M240" s="212"/>
      <c r="N240" s="212"/>
      <c r="O240" s="217"/>
      <c r="P240" s="217"/>
      <c r="Q240" s="212"/>
      <c r="R240" s="212"/>
      <c r="S240" s="217"/>
      <c r="T240" s="217"/>
      <c r="U240" s="212"/>
      <c r="V240" s="212"/>
      <c r="W240" s="212"/>
      <c r="X240" s="212"/>
      <c r="Y240" s="212"/>
      <c r="Z240" s="212"/>
      <c r="AA240" s="219"/>
      <c r="AB240" s="216"/>
      <c r="AC240" s="216"/>
      <c r="AD240" s="216"/>
      <c r="AE240" s="216"/>
      <c r="AF240" s="212"/>
      <c r="AG240" s="212"/>
      <c r="AH240" s="212"/>
      <c r="AI240" s="216"/>
      <c r="AJ240" s="216"/>
      <c r="AK240" s="216"/>
      <c r="AL240" s="216"/>
      <c r="AM240" s="216"/>
      <c r="AN240" s="216"/>
      <c r="AO240" s="216"/>
      <c r="AP240" s="217"/>
      <c r="AQ240" s="212"/>
      <c r="AR240" s="212"/>
      <c r="AS240" s="212"/>
      <c r="AT240" s="212"/>
      <c r="AU240" s="212"/>
      <c r="AV240" s="212"/>
      <c r="AW240" s="212"/>
      <c r="AX240" s="212"/>
      <c r="AY240" s="212"/>
      <c r="AZ240" s="212"/>
      <c r="BA240" s="212"/>
      <c r="BB240" s="212"/>
      <c r="BC240" s="212"/>
      <c r="BD240" s="212"/>
      <c r="BE240" s="212"/>
      <c r="BF240" s="216"/>
      <c r="BG240" s="212"/>
    </row>
    <row r="241" spans="1:59" ht="15.75" customHeight="1" x14ac:dyDescent="0.25">
      <c r="A241" s="212"/>
      <c r="B241" s="212"/>
      <c r="C241" s="212"/>
      <c r="D241" s="212"/>
      <c r="E241" s="216"/>
      <c r="F241" s="216"/>
      <c r="G241" s="269"/>
      <c r="H241" s="216"/>
      <c r="I241" s="218"/>
      <c r="J241" s="212"/>
      <c r="K241" s="212"/>
      <c r="L241" s="212"/>
      <c r="M241" s="212"/>
      <c r="N241" s="212"/>
      <c r="O241" s="217"/>
      <c r="P241" s="217"/>
      <c r="Q241" s="212"/>
      <c r="R241" s="212"/>
      <c r="S241" s="217"/>
      <c r="T241" s="217"/>
      <c r="U241" s="212"/>
      <c r="V241" s="212"/>
      <c r="W241" s="212"/>
      <c r="X241" s="212"/>
      <c r="Y241" s="212"/>
      <c r="Z241" s="212"/>
      <c r="AA241" s="219"/>
      <c r="AB241" s="216"/>
      <c r="AC241" s="216"/>
      <c r="AD241" s="216"/>
      <c r="AE241" s="216"/>
      <c r="AF241" s="212"/>
      <c r="AG241" s="212"/>
      <c r="AH241" s="212"/>
      <c r="AI241" s="216"/>
      <c r="AJ241" s="216"/>
      <c r="AK241" s="216"/>
      <c r="AL241" s="216"/>
      <c r="AM241" s="216"/>
      <c r="AN241" s="216"/>
      <c r="AO241" s="216"/>
      <c r="AP241" s="217"/>
      <c r="AQ241" s="212"/>
      <c r="AR241" s="212"/>
      <c r="AS241" s="212"/>
      <c r="AT241" s="212"/>
      <c r="AU241" s="212"/>
      <c r="AV241" s="212"/>
      <c r="AW241" s="212"/>
      <c r="AX241" s="212"/>
      <c r="AY241" s="212"/>
      <c r="AZ241" s="212"/>
      <c r="BA241" s="212"/>
      <c r="BB241" s="212"/>
      <c r="BC241" s="212"/>
      <c r="BD241" s="212"/>
      <c r="BE241" s="212"/>
      <c r="BF241" s="216"/>
      <c r="BG241" s="212"/>
    </row>
    <row r="242" spans="1:59" ht="15.75" customHeight="1" x14ac:dyDescent="0.25">
      <c r="A242" s="212"/>
      <c r="B242" s="212"/>
      <c r="C242" s="212"/>
      <c r="D242" s="212"/>
      <c r="E242" s="216"/>
      <c r="F242" s="216"/>
      <c r="G242" s="269"/>
      <c r="H242" s="216"/>
      <c r="I242" s="218"/>
      <c r="J242" s="212"/>
      <c r="K242" s="212"/>
      <c r="L242" s="212"/>
      <c r="M242" s="212"/>
      <c r="N242" s="212"/>
      <c r="O242" s="217"/>
      <c r="P242" s="217"/>
      <c r="Q242" s="212"/>
      <c r="R242" s="212"/>
      <c r="S242" s="217"/>
      <c r="T242" s="217"/>
      <c r="U242" s="212"/>
      <c r="V242" s="212"/>
      <c r="W242" s="212"/>
      <c r="X242" s="212"/>
      <c r="Y242" s="212"/>
      <c r="Z242" s="212"/>
      <c r="AA242" s="219"/>
      <c r="AB242" s="216"/>
      <c r="AC242" s="216"/>
      <c r="AD242" s="216"/>
      <c r="AE242" s="216"/>
      <c r="AF242" s="212"/>
      <c r="AG242" s="212"/>
      <c r="AH242" s="212"/>
      <c r="AI242" s="216"/>
      <c r="AJ242" s="216"/>
      <c r="AK242" s="216"/>
      <c r="AL242" s="216"/>
      <c r="AM242" s="216"/>
      <c r="AN242" s="216"/>
      <c r="AO242" s="216"/>
      <c r="AP242" s="217"/>
      <c r="AQ242" s="212"/>
      <c r="AR242" s="212"/>
      <c r="AS242" s="212"/>
      <c r="AT242" s="212"/>
      <c r="AU242" s="212"/>
      <c r="AV242" s="212"/>
      <c r="AW242" s="212"/>
      <c r="AX242" s="212"/>
      <c r="AY242" s="212"/>
      <c r="AZ242" s="212"/>
      <c r="BA242" s="212"/>
      <c r="BB242" s="212"/>
      <c r="BC242" s="212"/>
      <c r="BD242" s="212"/>
      <c r="BE242" s="212"/>
      <c r="BF242" s="216"/>
      <c r="BG242" s="212"/>
    </row>
    <row r="243" spans="1:59" ht="15.75" customHeight="1" x14ac:dyDescent="0.25">
      <c r="A243" s="212"/>
      <c r="B243" s="212"/>
      <c r="C243" s="212"/>
      <c r="D243" s="212"/>
      <c r="E243" s="216"/>
      <c r="F243" s="216"/>
      <c r="G243" s="269"/>
      <c r="H243" s="216"/>
      <c r="I243" s="218"/>
      <c r="J243" s="212"/>
      <c r="K243" s="212"/>
      <c r="L243" s="212"/>
      <c r="M243" s="212"/>
      <c r="N243" s="212"/>
      <c r="O243" s="217"/>
      <c r="P243" s="217"/>
      <c r="Q243" s="212"/>
      <c r="R243" s="212"/>
      <c r="S243" s="217"/>
      <c r="T243" s="217"/>
      <c r="U243" s="212"/>
      <c r="V243" s="212"/>
      <c r="W243" s="212"/>
      <c r="X243" s="212"/>
      <c r="Y243" s="212"/>
      <c r="Z243" s="212"/>
      <c r="AA243" s="219"/>
      <c r="AB243" s="216"/>
      <c r="AC243" s="216"/>
      <c r="AD243" s="216"/>
      <c r="AE243" s="216"/>
      <c r="AF243" s="212"/>
      <c r="AG243" s="212"/>
      <c r="AH243" s="212"/>
      <c r="AI243" s="216"/>
      <c r="AJ243" s="216"/>
      <c r="AK243" s="216"/>
      <c r="AL243" s="216"/>
      <c r="AM243" s="216"/>
      <c r="AN243" s="216"/>
      <c r="AO243" s="216"/>
      <c r="AP243" s="217"/>
      <c r="AQ243" s="212"/>
      <c r="AR243" s="212"/>
      <c r="AS243" s="212"/>
      <c r="AT243" s="212"/>
      <c r="AU243" s="212"/>
      <c r="AV243" s="212"/>
      <c r="AW243" s="212"/>
      <c r="AX243" s="212"/>
      <c r="AY243" s="212"/>
      <c r="AZ243" s="212"/>
      <c r="BA243" s="212"/>
      <c r="BB243" s="212"/>
      <c r="BC243" s="212"/>
      <c r="BD243" s="212"/>
      <c r="BE243" s="212"/>
      <c r="BF243" s="216"/>
      <c r="BG243" s="212"/>
    </row>
    <row r="244" spans="1:59" ht="15.75" customHeight="1" x14ac:dyDescent="0.25">
      <c r="A244" s="212"/>
      <c r="B244" s="212"/>
      <c r="C244" s="212"/>
      <c r="D244" s="212"/>
      <c r="E244" s="216"/>
      <c r="F244" s="216"/>
      <c r="G244" s="269"/>
      <c r="H244" s="216"/>
      <c r="I244" s="218"/>
      <c r="J244" s="212"/>
      <c r="K244" s="212"/>
      <c r="L244" s="212"/>
      <c r="M244" s="212"/>
      <c r="N244" s="212"/>
      <c r="O244" s="217"/>
      <c r="P244" s="217"/>
      <c r="Q244" s="212"/>
      <c r="R244" s="212"/>
      <c r="S244" s="217"/>
      <c r="T244" s="217"/>
      <c r="U244" s="212"/>
      <c r="V244" s="212"/>
      <c r="W244" s="212"/>
      <c r="X244" s="212"/>
      <c r="Y244" s="212"/>
      <c r="Z244" s="212"/>
      <c r="AA244" s="219"/>
      <c r="AB244" s="216"/>
      <c r="AC244" s="216"/>
      <c r="AD244" s="216"/>
      <c r="AE244" s="216"/>
      <c r="AF244" s="212"/>
      <c r="AG244" s="212"/>
      <c r="AH244" s="212"/>
      <c r="AI244" s="216"/>
      <c r="AJ244" s="216"/>
      <c r="AK244" s="216"/>
      <c r="AL244" s="216"/>
      <c r="AM244" s="216"/>
      <c r="AN244" s="216"/>
      <c r="AO244" s="216"/>
      <c r="AP244" s="217"/>
      <c r="AQ244" s="212"/>
      <c r="AR244" s="212"/>
      <c r="AS244" s="212"/>
      <c r="AT244" s="212"/>
      <c r="AU244" s="212"/>
      <c r="AV244" s="212"/>
      <c r="AW244" s="212"/>
      <c r="AX244" s="212"/>
      <c r="AY244" s="212"/>
      <c r="AZ244" s="212"/>
      <c r="BA244" s="212"/>
      <c r="BB244" s="212"/>
      <c r="BC244" s="212"/>
      <c r="BD244" s="212"/>
      <c r="BE244" s="212"/>
      <c r="BF244" s="216"/>
      <c r="BG244" s="212"/>
    </row>
    <row r="245" spans="1:59" ht="15.75" customHeight="1" x14ac:dyDescent="0.25">
      <c r="A245" s="212"/>
      <c r="B245" s="212"/>
      <c r="C245" s="212"/>
      <c r="D245" s="212"/>
      <c r="E245" s="216"/>
      <c r="F245" s="216"/>
      <c r="G245" s="269"/>
      <c r="H245" s="216"/>
      <c r="I245" s="218"/>
      <c r="J245" s="212"/>
      <c r="K245" s="212"/>
      <c r="L245" s="212"/>
      <c r="M245" s="212"/>
      <c r="N245" s="212"/>
      <c r="O245" s="217"/>
      <c r="P245" s="217"/>
      <c r="Q245" s="212"/>
      <c r="R245" s="212"/>
      <c r="S245" s="217"/>
      <c r="T245" s="217"/>
      <c r="U245" s="212"/>
      <c r="V245" s="212"/>
      <c r="W245" s="212"/>
      <c r="X245" s="212"/>
      <c r="Y245" s="212"/>
      <c r="Z245" s="212"/>
      <c r="AA245" s="219"/>
      <c r="AB245" s="216"/>
      <c r="AC245" s="216"/>
      <c r="AD245" s="216"/>
      <c r="AE245" s="216"/>
      <c r="AF245" s="212"/>
      <c r="AG245" s="212"/>
      <c r="AH245" s="212"/>
      <c r="AI245" s="216"/>
      <c r="AJ245" s="216"/>
      <c r="AK245" s="216"/>
      <c r="AL245" s="216"/>
      <c r="AM245" s="216"/>
      <c r="AN245" s="216"/>
      <c r="AO245" s="216"/>
      <c r="AP245" s="217"/>
      <c r="AQ245" s="212"/>
      <c r="AR245" s="212"/>
      <c r="AS245" s="212"/>
      <c r="AT245" s="212"/>
      <c r="AU245" s="212"/>
      <c r="AV245" s="212"/>
      <c r="AW245" s="212"/>
      <c r="AX245" s="212"/>
      <c r="AY245" s="212"/>
      <c r="AZ245" s="212"/>
      <c r="BA245" s="212"/>
      <c r="BB245" s="212"/>
      <c r="BC245" s="212"/>
      <c r="BD245" s="212"/>
      <c r="BE245" s="212"/>
      <c r="BF245" s="216"/>
      <c r="BG245" s="212"/>
    </row>
    <row r="246" spans="1:59" ht="15.75" customHeight="1" x14ac:dyDescent="0.25">
      <c r="A246" s="212"/>
      <c r="B246" s="212"/>
      <c r="C246" s="212"/>
      <c r="D246" s="212"/>
      <c r="E246" s="216"/>
      <c r="F246" s="216"/>
      <c r="G246" s="269"/>
      <c r="H246" s="216"/>
      <c r="I246" s="218"/>
      <c r="J246" s="212"/>
      <c r="K246" s="212"/>
      <c r="L246" s="212"/>
      <c r="M246" s="212"/>
      <c r="N246" s="212"/>
      <c r="O246" s="217"/>
      <c r="P246" s="217"/>
      <c r="Q246" s="212"/>
      <c r="R246" s="212"/>
      <c r="S246" s="217"/>
      <c r="T246" s="217"/>
      <c r="U246" s="212"/>
      <c r="V246" s="212"/>
      <c r="W246" s="212"/>
      <c r="X246" s="212"/>
      <c r="Y246" s="212"/>
      <c r="Z246" s="212"/>
      <c r="AA246" s="219"/>
      <c r="AB246" s="216"/>
      <c r="AC246" s="216"/>
      <c r="AD246" s="216"/>
      <c r="AE246" s="216"/>
      <c r="AF246" s="212"/>
      <c r="AG246" s="212"/>
      <c r="AH246" s="212"/>
      <c r="AI246" s="216"/>
      <c r="AJ246" s="216"/>
      <c r="AK246" s="216"/>
      <c r="AL246" s="216"/>
      <c r="AM246" s="216"/>
      <c r="AN246" s="216"/>
      <c r="AO246" s="216"/>
      <c r="AP246" s="217"/>
      <c r="AQ246" s="212"/>
      <c r="AR246" s="212"/>
      <c r="AS246" s="212"/>
      <c r="AT246" s="212"/>
      <c r="AU246" s="212"/>
      <c r="AV246" s="212"/>
      <c r="AW246" s="212"/>
      <c r="AX246" s="212"/>
      <c r="AY246" s="212"/>
      <c r="AZ246" s="212"/>
      <c r="BA246" s="212"/>
      <c r="BB246" s="212"/>
      <c r="BC246" s="212"/>
      <c r="BD246" s="212"/>
      <c r="BE246" s="212"/>
      <c r="BF246" s="216"/>
      <c r="BG246" s="212"/>
    </row>
    <row r="247" spans="1:59" ht="15.75" customHeight="1" x14ac:dyDescent="0.25">
      <c r="A247" s="212"/>
      <c r="B247" s="212"/>
      <c r="C247" s="212"/>
      <c r="D247" s="212"/>
      <c r="E247" s="216"/>
      <c r="F247" s="216"/>
      <c r="G247" s="269"/>
      <c r="H247" s="216"/>
      <c r="I247" s="218"/>
      <c r="J247" s="212"/>
      <c r="K247" s="212"/>
      <c r="L247" s="212"/>
      <c r="M247" s="212"/>
      <c r="N247" s="212"/>
      <c r="O247" s="217"/>
      <c r="P247" s="217"/>
      <c r="Q247" s="212"/>
      <c r="R247" s="212"/>
      <c r="S247" s="217"/>
      <c r="T247" s="217"/>
      <c r="U247" s="212"/>
      <c r="V247" s="212"/>
      <c r="W247" s="212"/>
      <c r="X247" s="212"/>
      <c r="Y247" s="212"/>
      <c r="Z247" s="212"/>
      <c r="AA247" s="219"/>
      <c r="AB247" s="216"/>
      <c r="AC247" s="216"/>
      <c r="AD247" s="216"/>
      <c r="AE247" s="216"/>
      <c r="AF247" s="212"/>
      <c r="AG247" s="212"/>
      <c r="AH247" s="212"/>
      <c r="AI247" s="216"/>
      <c r="AJ247" s="216"/>
      <c r="AK247" s="216"/>
      <c r="AL247" s="216"/>
      <c r="AM247" s="216"/>
      <c r="AN247" s="216"/>
      <c r="AO247" s="216"/>
      <c r="AP247" s="217"/>
      <c r="AQ247" s="212"/>
      <c r="AR247" s="212"/>
      <c r="AS247" s="212"/>
      <c r="AT247" s="212"/>
      <c r="AU247" s="212"/>
      <c r="AV247" s="212"/>
      <c r="AW247" s="212"/>
      <c r="AX247" s="212"/>
      <c r="AY247" s="212"/>
      <c r="AZ247" s="212"/>
      <c r="BA247" s="212"/>
      <c r="BB247" s="212"/>
      <c r="BC247" s="212"/>
      <c r="BD247" s="212"/>
      <c r="BE247" s="212"/>
      <c r="BF247" s="216"/>
      <c r="BG247" s="212"/>
    </row>
    <row r="248" spans="1:59" ht="15.75" customHeight="1" x14ac:dyDescent="0.25">
      <c r="A248" s="212"/>
      <c r="B248" s="212"/>
      <c r="C248" s="212"/>
      <c r="D248" s="212"/>
      <c r="E248" s="216"/>
      <c r="F248" s="216"/>
      <c r="G248" s="269"/>
      <c r="H248" s="216"/>
      <c r="I248" s="218"/>
      <c r="J248" s="212"/>
      <c r="K248" s="212"/>
      <c r="L248" s="212"/>
      <c r="M248" s="212"/>
      <c r="N248" s="212"/>
      <c r="O248" s="217"/>
      <c r="P248" s="217"/>
      <c r="Q248" s="212"/>
      <c r="R248" s="212"/>
      <c r="S248" s="217"/>
      <c r="T248" s="217"/>
      <c r="U248" s="212"/>
      <c r="V248" s="212"/>
      <c r="W248" s="212"/>
      <c r="X248" s="212"/>
      <c r="Y248" s="212"/>
      <c r="Z248" s="212"/>
      <c r="AA248" s="219"/>
      <c r="AB248" s="216"/>
      <c r="AC248" s="216"/>
      <c r="AD248" s="216"/>
      <c r="AE248" s="216"/>
      <c r="AF248" s="212"/>
      <c r="AG248" s="212"/>
      <c r="AH248" s="212"/>
      <c r="AI248" s="216"/>
      <c r="AJ248" s="216"/>
      <c r="AK248" s="216"/>
      <c r="AL248" s="216"/>
      <c r="AM248" s="216"/>
      <c r="AN248" s="216"/>
      <c r="AO248" s="216"/>
      <c r="AP248" s="217"/>
      <c r="AQ248" s="212"/>
      <c r="AR248" s="212"/>
      <c r="AS248" s="212"/>
      <c r="AT248" s="212"/>
      <c r="AU248" s="212"/>
      <c r="AV248" s="212"/>
      <c r="AW248" s="212"/>
      <c r="AX248" s="212"/>
      <c r="AY248" s="212"/>
      <c r="AZ248" s="212"/>
      <c r="BA248" s="212"/>
      <c r="BB248" s="212"/>
      <c r="BC248" s="212"/>
      <c r="BD248" s="212"/>
      <c r="BE248" s="212"/>
      <c r="BF248" s="216"/>
      <c r="BG248" s="212"/>
    </row>
    <row r="249" spans="1:59" ht="15.75" customHeight="1" x14ac:dyDescent="0.25">
      <c r="A249" s="212"/>
      <c r="B249" s="212"/>
      <c r="C249" s="212"/>
      <c r="D249" s="212"/>
      <c r="E249" s="216"/>
      <c r="F249" s="216"/>
      <c r="G249" s="269"/>
      <c r="H249" s="216"/>
      <c r="I249" s="218"/>
      <c r="J249" s="212"/>
      <c r="K249" s="212"/>
      <c r="L249" s="212"/>
      <c r="M249" s="212"/>
      <c r="N249" s="212"/>
      <c r="O249" s="217"/>
      <c r="P249" s="217"/>
      <c r="Q249" s="212"/>
      <c r="R249" s="212"/>
      <c r="S249" s="217"/>
      <c r="T249" s="217"/>
      <c r="U249" s="212"/>
      <c r="V249" s="212"/>
      <c r="W249" s="212"/>
      <c r="X249" s="212"/>
      <c r="Y249" s="212"/>
      <c r="Z249" s="212"/>
      <c r="AA249" s="219"/>
      <c r="AB249" s="216"/>
      <c r="AC249" s="216"/>
      <c r="AD249" s="216"/>
      <c r="AE249" s="216"/>
      <c r="AF249" s="212"/>
      <c r="AG249" s="212"/>
      <c r="AH249" s="212"/>
      <c r="AI249" s="216"/>
      <c r="AJ249" s="216"/>
      <c r="AK249" s="216"/>
      <c r="AL249" s="216"/>
      <c r="AM249" s="216"/>
      <c r="AN249" s="216"/>
      <c r="AO249" s="216"/>
      <c r="AP249" s="217"/>
      <c r="AQ249" s="212"/>
      <c r="AR249" s="212"/>
      <c r="AS249" s="212"/>
      <c r="AT249" s="212"/>
      <c r="AU249" s="212"/>
      <c r="AV249" s="212"/>
      <c r="AW249" s="212"/>
      <c r="AX249" s="212"/>
      <c r="AY249" s="212"/>
      <c r="AZ249" s="212"/>
      <c r="BA249" s="212"/>
      <c r="BB249" s="212"/>
      <c r="BC249" s="212"/>
      <c r="BD249" s="212"/>
      <c r="BE249" s="212"/>
      <c r="BF249" s="216"/>
      <c r="BG249" s="212"/>
    </row>
    <row r="250" spans="1:59" ht="15.75" customHeight="1" x14ac:dyDescent="0.25">
      <c r="A250" s="212"/>
      <c r="B250" s="212"/>
      <c r="C250" s="212"/>
      <c r="D250" s="212"/>
      <c r="E250" s="216"/>
      <c r="F250" s="216"/>
      <c r="G250" s="269"/>
      <c r="H250" s="216"/>
      <c r="I250" s="218"/>
      <c r="J250" s="212"/>
      <c r="K250" s="212"/>
      <c r="L250" s="212"/>
      <c r="M250" s="212"/>
      <c r="N250" s="212"/>
      <c r="O250" s="217"/>
      <c r="P250" s="217"/>
      <c r="Q250" s="212"/>
      <c r="R250" s="212"/>
      <c r="S250" s="217"/>
      <c r="T250" s="217"/>
      <c r="U250" s="212"/>
      <c r="V250" s="212"/>
      <c r="W250" s="212"/>
      <c r="X250" s="212"/>
      <c r="Y250" s="212"/>
      <c r="Z250" s="212"/>
      <c r="AA250" s="219"/>
      <c r="AB250" s="216"/>
      <c r="AC250" s="216"/>
      <c r="AD250" s="216"/>
      <c r="AE250" s="216"/>
      <c r="AF250" s="212"/>
      <c r="AG250" s="212"/>
      <c r="AH250" s="212"/>
      <c r="AI250" s="216"/>
      <c r="AJ250" s="216"/>
      <c r="AK250" s="216"/>
      <c r="AL250" s="216"/>
      <c r="AM250" s="216"/>
      <c r="AN250" s="216"/>
      <c r="AO250" s="216"/>
      <c r="AP250" s="217"/>
      <c r="AQ250" s="212"/>
      <c r="AR250" s="212"/>
      <c r="AS250" s="212"/>
      <c r="AT250" s="212"/>
      <c r="AU250" s="212"/>
      <c r="AV250" s="212"/>
      <c r="AW250" s="212"/>
      <c r="AX250" s="212"/>
      <c r="AY250" s="212"/>
      <c r="AZ250" s="212"/>
      <c r="BA250" s="212"/>
      <c r="BB250" s="212"/>
      <c r="BC250" s="212"/>
      <c r="BD250" s="212"/>
      <c r="BE250" s="212"/>
      <c r="BF250" s="216"/>
      <c r="BG250" s="212"/>
    </row>
    <row r="251" spans="1:59" ht="15.75" customHeight="1" x14ac:dyDescent="0.25">
      <c r="A251" s="212"/>
      <c r="B251" s="212"/>
      <c r="C251" s="212"/>
      <c r="D251" s="212"/>
      <c r="E251" s="216"/>
      <c r="F251" s="216"/>
      <c r="G251" s="269"/>
      <c r="H251" s="216"/>
      <c r="I251" s="218"/>
      <c r="J251" s="212"/>
      <c r="K251" s="212"/>
      <c r="L251" s="212"/>
      <c r="M251" s="212"/>
      <c r="N251" s="212"/>
      <c r="O251" s="217"/>
      <c r="P251" s="217"/>
      <c r="Q251" s="212"/>
      <c r="R251" s="212"/>
      <c r="S251" s="217"/>
      <c r="T251" s="217"/>
      <c r="U251" s="212"/>
      <c r="V251" s="212"/>
      <c r="W251" s="212"/>
      <c r="X251" s="212"/>
      <c r="Y251" s="212"/>
      <c r="Z251" s="212"/>
      <c r="AA251" s="219"/>
      <c r="AB251" s="216"/>
      <c r="AC251" s="216"/>
      <c r="AD251" s="216"/>
      <c r="AE251" s="216"/>
      <c r="AF251" s="212"/>
      <c r="AG251" s="212"/>
      <c r="AH251" s="212"/>
      <c r="AI251" s="216"/>
      <c r="AJ251" s="216"/>
      <c r="AK251" s="216"/>
      <c r="AL251" s="216"/>
      <c r="AM251" s="216"/>
      <c r="AN251" s="216"/>
      <c r="AO251" s="216"/>
      <c r="AP251" s="217"/>
      <c r="AQ251" s="212"/>
      <c r="AR251" s="212"/>
      <c r="AS251" s="212"/>
      <c r="AT251" s="212"/>
      <c r="AU251" s="212"/>
      <c r="AV251" s="212"/>
      <c r="AW251" s="212"/>
      <c r="AX251" s="212"/>
      <c r="AY251" s="212"/>
      <c r="AZ251" s="212"/>
      <c r="BA251" s="212"/>
      <c r="BB251" s="212"/>
      <c r="BC251" s="212"/>
      <c r="BD251" s="212"/>
      <c r="BE251" s="212"/>
      <c r="BF251" s="216"/>
      <c r="BG251" s="212"/>
    </row>
    <row r="252" spans="1:59" ht="15.75" customHeight="1" x14ac:dyDescent="0.25">
      <c r="A252" s="212"/>
      <c r="B252" s="212"/>
      <c r="C252" s="212"/>
      <c r="D252" s="212"/>
      <c r="E252" s="216"/>
      <c r="F252" s="216"/>
      <c r="G252" s="269"/>
      <c r="H252" s="216"/>
      <c r="I252" s="218"/>
      <c r="J252" s="212"/>
      <c r="K252" s="212"/>
      <c r="L252" s="212"/>
      <c r="M252" s="212"/>
      <c r="N252" s="212"/>
      <c r="O252" s="217"/>
      <c r="P252" s="217"/>
      <c r="Q252" s="212"/>
      <c r="R252" s="212"/>
      <c r="S252" s="217"/>
      <c r="T252" s="217"/>
      <c r="U252" s="212"/>
      <c r="V252" s="212"/>
      <c r="W252" s="212"/>
      <c r="X252" s="212"/>
      <c r="Y252" s="212"/>
      <c r="Z252" s="212"/>
      <c r="AA252" s="219"/>
      <c r="AB252" s="216"/>
      <c r="AC252" s="216"/>
      <c r="AD252" s="216"/>
      <c r="AE252" s="216"/>
      <c r="AF252" s="212"/>
      <c r="AG252" s="212"/>
      <c r="AH252" s="212"/>
      <c r="AI252" s="216"/>
      <c r="AJ252" s="216"/>
      <c r="AK252" s="216"/>
      <c r="AL252" s="216"/>
      <c r="AM252" s="216"/>
      <c r="AN252" s="216"/>
      <c r="AO252" s="216"/>
      <c r="AP252" s="217"/>
      <c r="AQ252" s="212"/>
      <c r="AR252" s="212"/>
      <c r="AS252" s="212"/>
      <c r="AT252" s="212"/>
      <c r="AU252" s="212"/>
      <c r="AV252" s="212"/>
      <c r="AW252" s="212"/>
      <c r="AX252" s="212"/>
      <c r="AY252" s="212"/>
      <c r="AZ252" s="212"/>
      <c r="BA252" s="212"/>
      <c r="BB252" s="212"/>
      <c r="BC252" s="212"/>
      <c r="BD252" s="212"/>
      <c r="BE252" s="212"/>
      <c r="BF252" s="216"/>
      <c r="BG252" s="212"/>
    </row>
    <row r="253" spans="1:59" ht="15.75" customHeight="1" x14ac:dyDescent="0.25">
      <c r="A253" s="212"/>
      <c r="B253" s="212"/>
      <c r="C253" s="212"/>
      <c r="D253" s="212"/>
      <c r="E253" s="216"/>
      <c r="F253" s="216"/>
      <c r="G253" s="269"/>
      <c r="H253" s="216"/>
      <c r="I253" s="218"/>
      <c r="J253" s="212"/>
      <c r="K253" s="212"/>
      <c r="L253" s="212"/>
      <c r="M253" s="212"/>
      <c r="N253" s="212"/>
      <c r="O253" s="217"/>
      <c r="P253" s="217"/>
      <c r="Q253" s="212"/>
      <c r="R253" s="212"/>
      <c r="S253" s="217"/>
      <c r="T253" s="217"/>
      <c r="U253" s="212"/>
      <c r="V253" s="212"/>
      <c r="W253" s="212"/>
      <c r="X253" s="212"/>
      <c r="Y253" s="212"/>
      <c r="Z253" s="212"/>
      <c r="AA253" s="219"/>
      <c r="AB253" s="216"/>
      <c r="AC253" s="216"/>
      <c r="AD253" s="216"/>
      <c r="AE253" s="216"/>
      <c r="AF253" s="212"/>
      <c r="AG253" s="212"/>
      <c r="AH253" s="212"/>
      <c r="AI253" s="216"/>
      <c r="AJ253" s="216"/>
      <c r="AK253" s="216"/>
      <c r="AL253" s="216"/>
      <c r="AM253" s="216"/>
      <c r="AN253" s="216"/>
      <c r="AO253" s="216"/>
      <c r="AP253" s="217"/>
      <c r="AQ253" s="212"/>
      <c r="AR253" s="212"/>
      <c r="AS253" s="212"/>
      <c r="AT253" s="212"/>
      <c r="AU253" s="212"/>
      <c r="AV253" s="212"/>
      <c r="AW253" s="212"/>
      <c r="AX253" s="212"/>
      <c r="AY253" s="212"/>
      <c r="AZ253" s="212"/>
      <c r="BA253" s="212"/>
      <c r="BB253" s="212"/>
      <c r="BC253" s="212"/>
      <c r="BD253" s="212"/>
      <c r="BE253" s="212"/>
      <c r="BF253" s="216"/>
      <c r="BG253" s="212"/>
    </row>
    <row r="254" spans="1:59" ht="15.75" customHeight="1" x14ac:dyDescent="0.25">
      <c r="A254" s="212"/>
      <c r="B254" s="212"/>
      <c r="C254" s="212"/>
      <c r="D254" s="212"/>
      <c r="E254" s="216"/>
      <c r="F254" s="216"/>
      <c r="G254" s="269"/>
      <c r="H254" s="216"/>
      <c r="I254" s="218"/>
      <c r="J254" s="212"/>
      <c r="K254" s="212"/>
      <c r="L254" s="212"/>
      <c r="M254" s="212"/>
      <c r="N254" s="212"/>
      <c r="O254" s="217"/>
      <c r="P254" s="217"/>
      <c r="Q254" s="212"/>
      <c r="R254" s="212"/>
      <c r="S254" s="217"/>
      <c r="T254" s="217"/>
      <c r="U254" s="212"/>
      <c r="V254" s="212"/>
      <c r="W254" s="212"/>
      <c r="X254" s="212"/>
      <c r="Y254" s="212"/>
      <c r="Z254" s="212"/>
      <c r="AA254" s="219"/>
      <c r="AB254" s="216"/>
      <c r="AC254" s="216"/>
      <c r="AD254" s="216"/>
      <c r="AE254" s="216"/>
      <c r="AF254" s="212"/>
      <c r="AG254" s="212"/>
      <c r="AH254" s="212"/>
      <c r="AI254" s="216"/>
      <c r="AJ254" s="216"/>
      <c r="AK254" s="216"/>
      <c r="AL254" s="216"/>
      <c r="AM254" s="216"/>
      <c r="AN254" s="216"/>
      <c r="AO254" s="216"/>
      <c r="AP254" s="217"/>
      <c r="AQ254" s="212"/>
      <c r="AR254" s="212"/>
      <c r="AS254" s="212"/>
      <c r="AT254" s="212"/>
      <c r="AU254" s="212"/>
      <c r="AV254" s="212"/>
      <c r="AW254" s="212"/>
      <c r="AX254" s="212"/>
      <c r="AY254" s="212"/>
      <c r="AZ254" s="212"/>
      <c r="BA254" s="212"/>
      <c r="BB254" s="212"/>
      <c r="BC254" s="212"/>
      <c r="BD254" s="212"/>
      <c r="BE254" s="212"/>
      <c r="BF254" s="216"/>
      <c r="BG254" s="212"/>
    </row>
    <row r="255" spans="1:59" ht="15.75" customHeight="1" x14ac:dyDescent="0.25">
      <c r="A255" s="212"/>
      <c r="B255" s="212"/>
      <c r="C255" s="212"/>
      <c r="D255" s="212"/>
      <c r="E255" s="216"/>
      <c r="F255" s="216"/>
      <c r="G255" s="269"/>
      <c r="H255" s="216"/>
      <c r="I255" s="218"/>
      <c r="J255" s="212"/>
      <c r="K255" s="212"/>
      <c r="L255" s="212"/>
      <c r="M255" s="212"/>
      <c r="N255" s="212"/>
      <c r="O255" s="217"/>
      <c r="P255" s="217"/>
      <c r="Q255" s="212"/>
      <c r="R255" s="212"/>
      <c r="S255" s="217"/>
      <c r="T255" s="217"/>
      <c r="U255" s="212"/>
      <c r="V255" s="212"/>
      <c r="W255" s="212"/>
      <c r="X255" s="212"/>
      <c r="Y255" s="212"/>
      <c r="Z255" s="212"/>
      <c r="AA255" s="219"/>
      <c r="AB255" s="216"/>
      <c r="AC255" s="216"/>
      <c r="AD255" s="216"/>
      <c r="AE255" s="216"/>
      <c r="AF255" s="212"/>
      <c r="AG255" s="212"/>
      <c r="AH255" s="212"/>
      <c r="AI255" s="216"/>
      <c r="AJ255" s="216"/>
      <c r="AK255" s="216"/>
      <c r="AL255" s="216"/>
      <c r="AM255" s="216"/>
      <c r="AN255" s="216"/>
      <c r="AO255" s="216"/>
      <c r="AP255" s="217"/>
      <c r="AQ255" s="212"/>
      <c r="AR255" s="212"/>
      <c r="AS255" s="212"/>
      <c r="AT255" s="212"/>
      <c r="AU255" s="212"/>
      <c r="AV255" s="212"/>
      <c r="AW255" s="212"/>
      <c r="AX255" s="212"/>
      <c r="AY255" s="212"/>
      <c r="AZ255" s="212"/>
      <c r="BA255" s="212"/>
      <c r="BB255" s="212"/>
      <c r="BC255" s="212"/>
      <c r="BD255" s="212"/>
      <c r="BE255" s="212"/>
      <c r="BF255" s="216"/>
      <c r="BG255" s="212"/>
    </row>
    <row r="256" spans="1:59" ht="15.75" customHeight="1" x14ac:dyDescent="0.25">
      <c r="A256" s="212"/>
      <c r="B256" s="212"/>
      <c r="C256" s="212"/>
      <c r="D256" s="212"/>
      <c r="E256" s="216"/>
      <c r="F256" s="216"/>
      <c r="G256" s="269"/>
      <c r="H256" s="216"/>
      <c r="I256" s="218"/>
      <c r="J256" s="212"/>
      <c r="K256" s="212"/>
      <c r="L256" s="212"/>
      <c r="M256" s="212"/>
      <c r="N256" s="212"/>
      <c r="O256" s="217"/>
      <c r="P256" s="217"/>
      <c r="Q256" s="212"/>
      <c r="R256" s="212"/>
      <c r="S256" s="217"/>
      <c r="T256" s="217"/>
      <c r="U256" s="212"/>
      <c r="V256" s="212"/>
      <c r="W256" s="212"/>
      <c r="X256" s="212"/>
      <c r="Y256" s="212"/>
      <c r="Z256" s="212"/>
      <c r="AA256" s="219"/>
      <c r="AB256" s="216"/>
      <c r="AC256" s="216"/>
      <c r="AD256" s="216"/>
      <c r="AE256" s="216"/>
      <c r="AF256" s="212"/>
      <c r="AG256" s="212"/>
      <c r="AH256" s="212"/>
      <c r="AI256" s="216"/>
      <c r="AJ256" s="216"/>
      <c r="AK256" s="216"/>
      <c r="AL256" s="216"/>
      <c r="AM256" s="216"/>
      <c r="AN256" s="216"/>
      <c r="AO256" s="216"/>
      <c r="AP256" s="217"/>
      <c r="AQ256" s="212"/>
      <c r="AR256" s="212"/>
      <c r="AS256" s="212"/>
      <c r="AT256" s="212"/>
      <c r="AU256" s="212"/>
      <c r="AV256" s="212"/>
      <c r="AW256" s="212"/>
      <c r="AX256" s="212"/>
      <c r="AY256" s="212"/>
      <c r="AZ256" s="212"/>
      <c r="BA256" s="212"/>
      <c r="BB256" s="212"/>
      <c r="BC256" s="212"/>
      <c r="BD256" s="212"/>
      <c r="BE256" s="212"/>
      <c r="BF256" s="216"/>
      <c r="BG256" s="212"/>
    </row>
    <row r="257" spans="1:59" ht="15.75" customHeight="1" x14ac:dyDescent="0.25">
      <c r="A257" s="212"/>
      <c r="B257" s="212"/>
      <c r="C257" s="212"/>
      <c r="D257" s="212"/>
      <c r="E257" s="216"/>
      <c r="F257" s="216"/>
      <c r="G257" s="269"/>
      <c r="H257" s="216"/>
      <c r="I257" s="218"/>
      <c r="J257" s="212"/>
      <c r="K257" s="212"/>
      <c r="L257" s="212"/>
      <c r="M257" s="212"/>
      <c r="N257" s="212"/>
      <c r="O257" s="217"/>
      <c r="P257" s="217"/>
      <c r="Q257" s="212"/>
      <c r="R257" s="212"/>
      <c r="S257" s="217"/>
      <c r="T257" s="217"/>
      <c r="U257" s="212"/>
      <c r="V257" s="212"/>
      <c r="W257" s="212"/>
      <c r="X257" s="212"/>
      <c r="Y257" s="212"/>
      <c r="Z257" s="212"/>
      <c r="AA257" s="219"/>
      <c r="AB257" s="216"/>
      <c r="AC257" s="216"/>
      <c r="AD257" s="216"/>
      <c r="AE257" s="216"/>
      <c r="AF257" s="212"/>
      <c r="AG257" s="212"/>
      <c r="AH257" s="212"/>
      <c r="AI257" s="216"/>
      <c r="AJ257" s="216"/>
      <c r="AK257" s="216"/>
      <c r="AL257" s="216"/>
      <c r="AM257" s="216"/>
      <c r="AN257" s="216"/>
      <c r="AO257" s="216"/>
      <c r="AP257" s="217"/>
      <c r="AQ257" s="212"/>
      <c r="AR257" s="212"/>
      <c r="AS257" s="212"/>
      <c r="AT257" s="212"/>
      <c r="AU257" s="212"/>
      <c r="AV257" s="212"/>
      <c r="AW257" s="212"/>
      <c r="AX257" s="212"/>
      <c r="AY257" s="212"/>
      <c r="AZ257" s="212"/>
      <c r="BA257" s="212"/>
      <c r="BB257" s="212"/>
      <c r="BC257" s="212"/>
      <c r="BD257" s="212"/>
      <c r="BE257" s="212"/>
      <c r="BF257" s="216"/>
      <c r="BG257" s="212"/>
    </row>
    <row r="258" spans="1:59" ht="15.75" customHeight="1" x14ac:dyDescent="0.25">
      <c r="A258" s="212"/>
      <c r="B258" s="212"/>
      <c r="C258" s="212"/>
      <c r="D258" s="212"/>
      <c r="E258" s="216"/>
      <c r="F258" s="216"/>
      <c r="G258" s="269"/>
      <c r="H258" s="216"/>
      <c r="I258" s="218"/>
      <c r="J258" s="212"/>
      <c r="K258" s="212"/>
      <c r="L258" s="212"/>
      <c r="M258" s="212"/>
      <c r="N258" s="212"/>
      <c r="O258" s="217"/>
      <c r="P258" s="217"/>
      <c r="Q258" s="212"/>
      <c r="R258" s="212"/>
      <c r="S258" s="217"/>
      <c r="T258" s="217"/>
      <c r="U258" s="212"/>
      <c r="V258" s="212"/>
      <c r="W258" s="212"/>
      <c r="X258" s="212"/>
      <c r="Y258" s="212"/>
      <c r="Z258" s="212"/>
      <c r="AA258" s="219"/>
      <c r="AB258" s="216"/>
      <c r="AC258" s="216"/>
      <c r="AD258" s="216"/>
      <c r="AE258" s="216"/>
      <c r="AF258" s="212"/>
      <c r="AG258" s="212"/>
      <c r="AH258" s="212"/>
      <c r="AI258" s="216"/>
      <c r="AJ258" s="216"/>
      <c r="AK258" s="216"/>
      <c r="AL258" s="216"/>
      <c r="AM258" s="216"/>
      <c r="AN258" s="216"/>
      <c r="AO258" s="216"/>
      <c r="AP258" s="217"/>
      <c r="AQ258" s="212"/>
      <c r="AR258" s="212"/>
      <c r="AS258" s="212"/>
      <c r="AT258" s="212"/>
      <c r="AU258" s="212"/>
      <c r="AV258" s="212"/>
      <c r="AW258" s="212"/>
      <c r="AX258" s="212"/>
      <c r="AY258" s="212"/>
      <c r="AZ258" s="212"/>
      <c r="BA258" s="212"/>
      <c r="BB258" s="212"/>
      <c r="BC258" s="212"/>
      <c r="BD258" s="212"/>
      <c r="BE258" s="212"/>
      <c r="BF258" s="216"/>
      <c r="BG258" s="212"/>
    </row>
    <row r="259" spans="1:59" ht="15.75" customHeight="1" x14ac:dyDescent="0.25">
      <c r="A259" s="212"/>
      <c r="B259" s="212"/>
      <c r="C259" s="212"/>
      <c r="D259" s="212"/>
      <c r="E259" s="216"/>
      <c r="F259" s="216"/>
      <c r="G259" s="269"/>
      <c r="H259" s="216"/>
      <c r="I259" s="218"/>
      <c r="J259" s="212"/>
      <c r="K259" s="212"/>
      <c r="L259" s="212"/>
      <c r="M259" s="212"/>
      <c r="N259" s="212"/>
      <c r="O259" s="217"/>
      <c r="P259" s="217"/>
      <c r="Q259" s="212"/>
      <c r="R259" s="212"/>
      <c r="S259" s="217"/>
      <c r="T259" s="217"/>
      <c r="U259" s="212"/>
      <c r="V259" s="212"/>
      <c r="W259" s="212"/>
      <c r="X259" s="212"/>
      <c r="Y259" s="212"/>
      <c r="Z259" s="212"/>
      <c r="AA259" s="219"/>
      <c r="AB259" s="216"/>
      <c r="AC259" s="216"/>
      <c r="AD259" s="216"/>
      <c r="AE259" s="216"/>
      <c r="AF259" s="212"/>
      <c r="AG259" s="212"/>
      <c r="AH259" s="212"/>
      <c r="AI259" s="216"/>
      <c r="AJ259" s="216"/>
      <c r="AK259" s="216"/>
      <c r="AL259" s="216"/>
      <c r="AM259" s="216"/>
      <c r="AN259" s="216"/>
      <c r="AO259" s="216"/>
      <c r="AP259" s="217"/>
      <c r="AQ259" s="212"/>
      <c r="AR259" s="212"/>
      <c r="AS259" s="212"/>
      <c r="AT259" s="212"/>
      <c r="AU259" s="212"/>
      <c r="AV259" s="212"/>
      <c r="AW259" s="212"/>
      <c r="AX259" s="212"/>
      <c r="AY259" s="212"/>
      <c r="AZ259" s="212"/>
      <c r="BA259" s="212"/>
      <c r="BB259" s="212"/>
      <c r="BC259" s="212"/>
      <c r="BD259" s="212"/>
      <c r="BE259" s="212"/>
      <c r="BF259" s="216"/>
      <c r="BG259" s="212"/>
    </row>
    <row r="260" spans="1:59" ht="15.75" customHeight="1" x14ac:dyDescent="0.25">
      <c r="A260" s="212"/>
      <c r="B260" s="212"/>
      <c r="C260" s="212"/>
      <c r="D260" s="212"/>
      <c r="E260" s="216"/>
      <c r="F260" s="216"/>
      <c r="G260" s="269"/>
      <c r="H260" s="216"/>
      <c r="I260" s="218"/>
      <c r="J260" s="212"/>
      <c r="K260" s="212"/>
      <c r="L260" s="212"/>
      <c r="M260" s="212"/>
      <c r="N260" s="212"/>
      <c r="O260" s="217"/>
      <c r="P260" s="217"/>
      <c r="Q260" s="212"/>
      <c r="R260" s="212"/>
      <c r="S260" s="217"/>
      <c r="T260" s="217"/>
      <c r="U260" s="212"/>
      <c r="V260" s="212"/>
      <c r="W260" s="212"/>
      <c r="X260" s="212"/>
      <c r="Y260" s="212"/>
      <c r="Z260" s="212"/>
      <c r="AA260" s="219"/>
      <c r="AB260" s="216"/>
      <c r="AC260" s="216"/>
      <c r="AD260" s="216"/>
      <c r="AE260" s="216"/>
      <c r="AF260" s="212"/>
      <c r="AG260" s="212"/>
      <c r="AH260" s="212"/>
      <c r="AI260" s="216"/>
      <c r="AJ260" s="216"/>
      <c r="AK260" s="216"/>
      <c r="AL260" s="216"/>
      <c r="AM260" s="216"/>
      <c r="AN260" s="216"/>
      <c r="AO260" s="216"/>
      <c r="AP260" s="217"/>
      <c r="AQ260" s="212"/>
      <c r="AR260" s="212"/>
      <c r="AS260" s="212"/>
      <c r="AT260" s="212"/>
      <c r="AU260" s="212"/>
      <c r="AV260" s="212"/>
      <c r="AW260" s="212"/>
      <c r="AX260" s="212"/>
      <c r="AY260" s="212"/>
      <c r="AZ260" s="212"/>
      <c r="BA260" s="212"/>
      <c r="BB260" s="212"/>
      <c r="BC260" s="212"/>
      <c r="BD260" s="212"/>
      <c r="BE260" s="212"/>
      <c r="BF260" s="216"/>
      <c r="BG260" s="212"/>
    </row>
    <row r="261" spans="1:59" ht="15.75" customHeight="1" x14ac:dyDescent="0.25">
      <c r="A261" s="212"/>
      <c r="B261" s="212"/>
      <c r="C261" s="212"/>
      <c r="D261" s="212"/>
      <c r="E261" s="216"/>
      <c r="F261" s="216"/>
      <c r="G261" s="269"/>
      <c r="H261" s="216"/>
      <c r="I261" s="218"/>
      <c r="J261" s="212"/>
      <c r="K261" s="212"/>
      <c r="L261" s="212"/>
      <c r="M261" s="212"/>
      <c r="N261" s="212"/>
      <c r="O261" s="217"/>
      <c r="P261" s="217"/>
      <c r="Q261" s="212"/>
      <c r="R261" s="212"/>
      <c r="S261" s="217"/>
      <c r="T261" s="217"/>
      <c r="U261" s="212"/>
      <c r="V261" s="212"/>
      <c r="W261" s="212"/>
      <c r="X261" s="212"/>
      <c r="Y261" s="212"/>
      <c r="Z261" s="212"/>
      <c r="AA261" s="219"/>
      <c r="AB261" s="216"/>
      <c r="AC261" s="216"/>
      <c r="AD261" s="216"/>
      <c r="AE261" s="216"/>
      <c r="AF261" s="212"/>
      <c r="AG261" s="212"/>
      <c r="AH261" s="212"/>
      <c r="AI261" s="216"/>
      <c r="AJ261" s="216"/>
      <c r="AK261" s="216"/>
      <c r="AL261" s="216"/>
      <c r="AM261" s="216"/>
      <c r="AN261" s="216"/>
      <c r="AO261" s="216"/>
      <c r="AP261" s="217"/>
      <c r="AQ261" s="212"/>
      <c r="AR261" s="212"/>
      <c r="AS261" s="212"/>
      <c r="AT261" s="212"/>
      <c r="AU261" s="212"/>
      <c r="AV261" s="212"/>
      <c r="AW261" s="212"/>
      <c r="AX261" s="212"/>
      <c r="AY261" s="212"/>
      <c r="AZ261" s="212"/>
      <c r="BA261" s="212"/>
      <c r="BB261" s="212"/>
      <c r="BC261" s="212"/>
      <c r="BD261" s="212"/>
      <c r="BE261" s="212"/>
      <c r="BF261" s="216"/>
      <c r="BG261" s="212"/>
    </row>
    <row r="262" spans="1:59" ht="15.75" customHeight="1" x14ac:dyDescent="0.25">
      <c r="A262" s="212"/>
      <c r="B262" s="212"/>
      <c r="C262" s="212"/>
      <c r="D262" s="212"/>
      <c r="E262" s="216"/>
      <c r="F262" s="216"/>
      <c r="G262" s="269"/>
      <c r="H262" s="216"/>
      <c r="I262" s="218"/>
      <c r="J262" s="212"/>
      <c r="K262" s="212"/>
      <c r="L262" s="212"/>
      <c r="M262" s="212"/>
      <c r="N262" s="212"/>
      <c r="O262" s="217"/>
      <c r="P262" s="217"/>
      <c r="Q262" s="212"/>
      <c r="R262" s="212"/>
      <c r="S262" s="217"/>
      <c r="T262" s="217"/>
      <c r="U262" s="212"/>
      <c r="V262" s="212"/>
      <c r="W262" s="212"/>
      <c r="X262" s="212"/>
      <c r="Y262" s="212"/>
      <c r="Z262" s="212"/>
      <c r="AA262" s="219"/>
      <c r="AB262" s="216"/>
      <c r="AC262" s="216"/>
      <c r="AD262" s="216"/>
      <c r="AE262" s="216"/>
      <c r="AF262" s="212"/>
      <c r="AG262" s="212"/>
      <c r="AH262" s="212"/>
      <c r="AI262" s="216"/>
      <c r="AJ262" s="216"/>
      <c r="AK262" s="216"/>
      <c r="AL262" s="216"/>
      <c r="AM262" s="216"/>
      <c r="AN262" s="216"/>
      <c r="AO262" s="216"/>
      <c r="AP262" s="217"/>
      <c r="AQ262" s="212"/>
      <c r="AR262" s="212"/>
      <c r="AS262" s="212"/>
      <c r="AT262" s="212"/>
      <c r="AU262" s="212"/>
      <c r="AV262" s="212"/>
      <c r="AW262" s="212"/>
      <c r="AX262" s="212"/>
      <c r="AY262" s="212"/>
      <c r="AZ262" s="212"/>
      <c r="BA262" s="212"/>
      <c r="BB262" s="212"/>
      <c r="BC262" s="212"/>
      <c r="BD262" s="212"/>
      <c r="BE262" s="212"/>
      <c r="BF262" s="216"/>
      <c r="BG262" s="212"/>
    </row>
    <row r="263" spans="1:59" ht="15.75" customHeight="1" x14ac:dyDescent="0.25">
      <c r="A263" s="212"/>
      <c r="B263" s="212"/>
      <c r="C263" s="212"/>
      <c r="D263" s="212"/>
      <c r="E263" s="216"/>
      <c r="F263" s="216"/>
      <c r="G263" s="269"/>
      <c r="H263" s="216"/>
      <c r="I263" s="218"/>
      <c r="J263" s="212"/>
      <c r="K263" s="212"/>
      <c r="L263" s="212"/>
      <c r="M263" s="212"/>
      <c r="N263" s="212"/>
      <c r="O263" s="217"/>
      <c r="P263" s="217"/>
      <c r="Q263" s="212"/>
      <c r="R263" s="212"/>
      <c r="S263" s="217"/>
      <c r="T263" s="217"/>
      <c r="U263" s="212"/>
      <c r="V263" s="212"/>
      <c r="W263" s="212"/>
      <c r="X263" s="212"/>
      <c r="Y263" s="212"/>
      <c r="Z263" s="212"/>
      <c r="AA263" s="219"/>
      <c r="AB263" s="216"/>
      <c r="AC263" s="216"/>
      <c r="AD263" s="216"/>
      <c r="AE263" s="216"/>
      <c r="AF263" s="212"/>
      <c r="AG263" s="212"/>
      <c r="AH263" s="212"/>
      <c r="AI263" s="216"/>
      <c r="AJ263" s="216"/>
      <c r="AK263" s="216"/>
      <c r="AL263" s="216"/>
      <c r="AM263" s="216"/>
      <c r="AN263" s="216"/>
      <c r="AO263" s="216"/>
      <c r="AP263" s="217"/>
      <c r="AQ263" s="212"/>
      <c r="AR263" s="212"/>
      <c r="AS263" s="212"/>
      <c r="AT263" s="212"/>
      <c r="AU263" s="212"/>
      <c r="AV263" s="212"/>
      <c r="AW263" s="212"/>
      <c r="AX263" s="212"/>
      <c r="AY263" s="212"/>
      <c r="AZ263" s="212"/>
      <c r="BA263" s="212"/>
      <c r="BB263" s="212"/>
      <c r="BC263" s="212"/>
      <c r="BD263" s="212"/>
      <c r="BE263" s="212"/>
      <c r="BF263" s="216"/>
      <c r="BG263" s="212"/>
    </row>
    <row r="264" spans="1:59" ht="15.75" customHeight="1" x14ac:dyDescent="0.25">
      <c r="A264" s="212"/>
      <c r="B264" s="212"/>
      <c r="C264" s="212"/>
      <c r="D264" s="212"/>
      <c r="E264" s="216"/>
      <c r="F264" s="216"/>
      <c r="G264" s="269"/>
      <c r="H264" s="216"/>
      <c r="I264" s="218"/>
      <c r="J264" s="212"/>
      <c r="K264" s="212"/>
      <c r="L264" s="212"/>
      <c r="M264" s="212"/>
      <c r="N264" s="212"/>
      <c r="O264" s="217"/>
      <c r="P264" s="217"/>
      <c r="Q264" s="212"/>
      <c r="R264" s="212"/>
      <c r="S264" s="217"/>
      <c r="T264" s="217"/>
      <c r="U264" s="212"/>
      <c r="V264" s="212"/>
      <c r="W264" s="212"/>
      <c r="X264" s="212"/>
      <c r="Y264" s="212"/>
      <c r="Z264" s="212"/>
      <c r="AA264" s="219"/>
      <c r="AB264" s="216"/>
      <c r="AC264" s="216"/>
      <c r="AD264" s="216"/>
      <c r="AE264" s="216"/>
      <c r="AF264" s="212"/>
      <c r="AG264" s="212"/>
      <c r="AH264" s="212"/>
      <c r="AI264" s="216"/>
      <c r="AJ264" s="216"/>
      <c r="AK264" s="216"/>
      <c r="AL264" s="216"/>
      <c r="AM264" s="216"/>
      <c r="AN264" s="216"/>
      <c r="AO264" s="216"/>
      <c r="AP264" s="217"/>
      <c r="AQ264" s="212"/>
      <c r="AR264" s="212"/>
      <c r="AS264" s="212"/>
      <c r="AT264" s="212"/>
      <c r="AU264" s="212"/>
      <c r="AV264" s="212"/>
      <c r="AW264" s="212"/>
      <c r="AX264" s="212"/>
      <c r="AY264" s="212"/>
      <c r="AZ264" s="212"/>
      <c r="BA264" s="212"/>
      <c r="BB264" s="212"/>
      <c r="BC264" s="212"/>
      <c r="BD264" s="212"/>
      <c r="BE264" s="212"/>
      <c r="BF264" s="216"/>
      <c r="BG264" s="212"/>
    </row>
    <row r="265" spans="1:59" ht="15.75" customHeight="1" x14ac:dyDescent="0.25">
      <c r="A265" s="212"/>
      <c r="B265" s="212"/>
      <c r="C265" s="212"/>
      <c r="D265" s="212"/>
      <c r="E265" s="216"/>
      <c r="F265" s="216"/>
      <c r="G265" s="269"/>
      <c r="H265" s="216"/>
      <c r="I265" s="218"/>
      <c r="J265" s="212"/>
      <c r="K265" s="212"/>
      <c r="L265" s="212"/>
      <c r="M265" s="212"/>
      <c r="N265" s="212"/>
      <c r="O265" s="217"/>
      <c r="P265" s="217"/>
      <c r="Q265" s="212"/>
      <c r="R265" s="212"/>
      <c r="S265" s="217"/>
      <c r="T265" s="217"/>
      <c r="U265" s="212"/>
      <c r="V265" s="212"/>
      <c r="W265" s="212"/>
      <c r="X265" s="212"/>
      <c r="Y265" s="212"/>
      <c r="Z265" s="212"/>
      <c r="AA265" s="219"/>
      <c r="AB265" s="216"/>
      <c r="AC265" s="216"/>
      <c r="AD265" s="216"/>
      <c r="AE265" s="216"/>
      <c r="AF265" s="212"/>
      <c r="AG265" s="212"/>
      <c r="AH265" s="212"/>
      <c r="AI265" s="216"/>
      <c r="AJ265" s="216"/>
      <c r="AK265" s="216"/>
      <c r="AL265" s="216"/>
      <c r="AM265" s="216"/>
      <c r="AN265" s="216"/>
      <c r="AO265" s="216"/>
      <c r="AP265" s="217"/>
      <c r="AQ265" s="212"/>
      <c r="AR265" s="212"/>
      <c r="AS265" s="212"/>
      <c r="AT265" s="212"/>
      <c r="AU265" s="212"/>
      <c r="AV265" s="212"/>
      <c r="AW265" s="212"/>
      <c r="AX265" s="212"/>
      <c r="AY265" s="212"/>
      <c r="AZ265" s="212"/>
      <c r="BA265" s="212"/>
      <c r="BB265" s="212"/>
      <c r="BC265" s="212"/>
      <c r="BD265" s="212"/>
      <c r="BE265" s="212"/>
      <c r="BF265" s="216"/>
      <c r="BG265" s="212"/>
    </row>
    <row r="266" spans="1:59" ht="15.75" customHeight="1" x14ac:dyDescent="0.25">
      <c r="A266" s="212"/>
      <c r="B266" s="212"/>
      <c r="C266" s="212"/>
      <c r="D266" s="212"/>
      <c r="E266" s="216"/>
      <c r="F266" s="216"/>
      <c r="G266" s="269"/>
      <c r="H266" s="216"/>
      <c r="I266" s="218"/>
      <c r="J266" s="212"/>
      <c r="K266" s="212"/>
      <c r="L266" s="212"/>
      <c r="M266" s="212"/>
      <c r="N266" s="212"/>
      <c r="O266" s="217"/>
      <c r="P266" s="217"/>
      <c r="Q266" s="212"/>
      <c r="R266" s="212"/>
      <c r="S266" s="217"/>
      <c r="T266" s="217"/>
      <c r="U266" s="212"/>
      <c r="V266" s="212"/>
      <c r="W266" s="212"/>
      <c r="X266" s="212"/>
      <c r="Y266" s="212"/>
      <c r="Z266" s="212"/>
      <c r="AA266" s="219"/>
      <c r="AB266" s="216"/>
      <c r="AC266" s="216"/>
      <c r="AD266" s="216"/>
      <c r="AE266" s="216"/>
      <c r="AF266" s="212"/>
      <c r="AG266" s="212"/>
      <c r="AH266" s="212"/>
      <c r="AI266" s="216"/>
      <c r="AJ266" s="216"/>
      <c r="AK266" s="216"/>
      <c r="AL266" s="216"/>
      <c r="AM266" s="216"/>
      <c r="AN266" s="216"/>
      <c r="AO266" s="216"/>
      <c r="AP266" s="217"/>
      <c r="AQ266" s="212"/>
      <c r="AR266" s="212"/>
      <c r="AS266" s="212"/>
      <c r="AT266" s="212"/>
      <c r="AU266" s="212"/>
      <c r="AV266" s="212"/>
      <c r="AW266" s="212"/>
      <c r="AX266" s="212"/>
      <c r="AY266" s="212"/>
      <c r="AZ266" s="212"/>
      <c r="BA266" s="212"/>
      <c r="BB266" s="212"/>
      <c r="BC266" s="212"/>
      <c r="BD266" s="212"/>
      <c r="BE266" s="212"/>
      <c r="BF266" s="216"/>
      <c r="BG266" s="212"/>
    </row>
    <row r="267" spans="1:59" ht="15.75" customHeight="1" x14ac:dyDescent="0.25">
      <c r="A267" s="212"/>
      <c r="B267" s="212"/>
      <c r="C267" s="212"/>
      <c r="D267" s="212"/>
      <c r="E267" s="216"/>
      <c r="F267" s="216"/>
      <c r="G267" s="269"/>
      <c r="H267" s="216"/>
      <c r="I267" s="218"/>
      <c r="J267" s="212"/>
      <c r="K267" s="212"/>
      <c r="L267" s="212"/>
      <c r="M267" s="212"/>
      <c r="N267" s="212"/>
      <c r="O267" s="217"/>
      <c r="P267" s="217"/>
      <c r="Q267" s="212"/>
      <c r="R267" s="212"/>
      <c r="S267" s="217"/>
      <c r="T267" s="217"/>
      <c r="U267" s="212"/>
      <c r="V267" s="212"/>
      <c r="W267" s="212"/>
      <c r="X267" s="212"/>
      <c r="Y267" s="212"/>
      <c r="Z267" s="212"/>
      <c r="AA267" s="219"/>
      <c r="AB267" s="216"/>
      <c r="AC267" s="216"/>
      <c r="AD267" s="216"/>
      <c r="AE267" s="216"/>
      <c r="AF267" s="212"/>
      <c r="AG267" s="212"/>
      <c r="AH267" s="212"/>
      <c r="AI267" s="216"/>
      <c r="AJ267" s="216"/>
      <c r="AK267" s="216"/>
      <c r="AL267" s="216"/>
      <c r="AM267" s="216"/>
      <c r="AN267" s="216"/>
      <c r="AO267" s="216"/>
      <c r="AP267" s="217"/>
      <c r="AQ267" s="212"/>
      <c r="AR267" s="212"/>
      <c r="AS267" s="212"/>
      <c r="AT267" s="212"/>
      <c r="AU267" s="212"/>
      <c r="AV267" s="212"/>
      <c r="AW267" s="212"/>
      <c r="AX267" s="212"/>
      <c r="AY267" s="212"/>
      <c r="AZ267" s="212"/>
      <c r="BA267" s="212"/>
      <c r="BB267" s="212"/>
      <c r="BC267" s="212"/>
      <c r="BD267" s="212"/>
      <c r="BE267" s="212"/>
      <c r="BF267" s="216"/>
      <c r="BG267" s="212"/>
    </row>
    <row r="268" spans="1:59" ht="15.75" customHeight="1" x14ac:dyDescent="0.25">
      <c r="A268" s="212"/>
      <c r="B268" s="212"/>
      <c r="C268" s="212"/>
      <c r="D268" s="212"/>
      <c r="E268" s="216"/>
      <c r="F268" s="216"/>
      <c r="G268" s="269"/>
      <c r="H268" s="216"/>
      <c r="I268" s="218"/>
      <c r="J268" s="212"/>
      <c r="K268" s="212"/>
      <c r="L268" s="212"/>
      <c r="M268" s="212"/>
      <c r="N268" s="212"/>
      <c r="O268" s="217"/>
      <c r="P268" s="217"/>
      <c r="Q268" s="212"/>
      <c r="R268" s="212"/>
      <c r="S268" s="217"/>
      <c r="T268" s="217"/>
      <c r="U268" s="212"/>
      <c r="V268" s="212"/>
      <c r="W268" s="212"/>
      <c r="X268" s="212"/>
      <c r="Y268" s="212"/>
      <c r="Z268" s="212"/>
      <c r="AA268" s="219"/>
      <c r="AB268" s="216"/>
      <c r="AC268" s="216"/>
      <c r="AD268" s="216"/>
      <c r="AE268" s="216"/>
      <c r="AF268" s="212"/>
      <c r="AG268" s="212"/>
      <c r="AH268" s="212"/>
      <c r="AI268" s="216"/>
      <c r="AJ268" s="216"/>
      <c r="AK268" s="216"/>
      <c r="AL268" s="216"/>
      <c r="AM268" s="216"/>
      <c r="AN268" s="216"/>
      <c r="AO268" s="216"/>
      <c r="AP268" s="217"/>
      <c r="AQ268" s="212"/>
      <c r="AR268" s="212"/>
      <c r="AS268" s="212"/>
      <c r="AT268" s="212"/>
      <c r="AU268" s="212"/>
      <c r="AV268" s="212"/>
      <c r="AW268" s="212"/>
      <c r="AX268" s="212"/>
      <c r="AY268" s="212"/>
      <c r="AZ268" s="212"/>
      <c r="BA268" s="212"/>
      <c r="BB268" s="212"/>
      <c r="BC268" s="212"/>
      <c r="BD268" s="212"/>
      <c r="BE268" s="212"/>
      <c r="BF268" s="216"/>
      <c r="BG268" s="212"/>
    </row>
    <row r="269" spans="1:59" ht="15.75" customHeight="1" x14ac:dyDescent="0.25">
      <c r="A269" s="212"/>
      <c r="B269" s="212"/>
      <c r="C269" s="212"/>
      <c r="D269" s="212"/>
      <c r="E269" s="216"/>
      <c r="F269" s="216"/>
      <c r="G269" s="269"/>
      <c r="H269" s="216"/>
      <c r="I269" s="218"/>
      <c r="J269" s="212"/>
      <c r="K269" s="212"/>
      <c r="L269" s="212"/>
      <c r="M269" s="212"/>
      <c r="N269" s="212"/>
      <c r="O269" s="217"/>
      <c r="P269" s="217"/>
      <c r="Q269" s="212"/>
      <c r="R269" s="212"/>
      <c r="S269" s="217"/>
      <c r="T269" s="217"/>
      <c r="U269" s="212"/>
      <c r="V269" s="212"/>
      <c r="W269" s="212"/>
      <c r="X269" s="212"/>
      <c r="Y269" s="212"/>
      <c r="Z269" s="212"/>
      <c r="AA269" s="219"/>
      <c r="AB269" s="216"/>
      <c r="AC269" s="216"/>
      <c r="AD269" s="216"/>
      <c r="AE269" s="216"/>
      <c r="AF269" s="212"/>
      <c r="AG269" s="212"/>
      <c r="AH269" s="212"/>
      <c r="AI269" s="216"/>
      <c r="AJ269" s="216"/>
      <c r="AK269" s="216"/>
      <c r="AL269" s="216"/>
      <c r="AM269" s="216"/>
      <c r="AN269" s="216"/>
      <c r="AO269" s="216"/>
      <c r="AP269" s="217"/>
      <c r="AQ269" s="212"/>
      <c r="AR269" s="212"/>
      <c r="AS269" s="212"/>
      <c r="AT269" s="212"/>
      <c r="AU269" s="212"/>
      <c r="AV269" s="212"/>
      <c r="AW269" s="212"/>
      <c r="AX269" s="212"/>
      <c r="AY269" s="212"/>
      <c r="AZ269" s="212"/>
      <c r="BA269" s="212"/>
      <c r="BB269" s="212"/>
      <c r="BC269" s="212"/>
      <c r="BD269" s="212"/>
      <c r="BE269" s="212"/>
      <c r="BF269" s="216"/>
      <c r="BG269" s="212"/>
    </row>
    <row r="270" spans="1:59" ht="15.75" customHeight="1" x14ac:dyDescent="0.25">
      <c r="A270" s="212"/>
      <c r="B270" s="212"/>
      <c r="C270" s="212"/>
      <c r="D270" s="212"/>
      <c r="E270" s="216"/>
      <c r="F270" s="216"/>
      <c r="G270" s="269"/>
      <c r="H270" s="216"/>
      <c r="I270" s="218"/>
      <c r="J270" s="212"/>
      <c r="K270" s="212"/>
      <c r="L270" s="212"/>
      <c r="M270" s="212"/>
      <c r="N270" s="212"/>
      <c r="O270" s="217"/>
      <c r="P270" s="217"/>
      <c r="Q270" s="212"/>
      <c r="R270" s="212"/>
      <c r="S270" s="217"/>
      <c r="T270" s="217"/>
      <c r="U270" s="212"/>
      <c r="V270" s="212"/>
      <c r="W270" s="212"/>
      <c r="X270" s="212"/>
      <c r="Y270" s="212"/>
      <c r="Z270" s="212"/>
      <c r="AA270" s="219"/>
      <c r="AB270" s="216"/>
      <c r="AC270" s="216"/>
      <c r="AD270" s="216"/>
      <c r="AE270" s="216"/>
      <c r="AF270" s="212"/>
      <c r="AG270" s="212"/>
      <c r="AH270" s="212"/>
      <c r="AI270" s="216"/>
      <c r="AJ270" s="216"/>
      <c r="AK270" s="216"/>
      <c r="AL270" s="216"/>
      <c r="AM270" s="216"/>
      <c r="AN270" s="216"/>
      <c r="AO270" s="216"/>
      <c r="AP270" s="217"/>
      <c r="AQ270" s="212"/>
      <c r="AR270" s="212"/>
      <c r="AS270" s="212"/>
      <c r="AT270" s="212"/>
      <c r="AU270" s="212"/>
      <c r="AV270" s="212"/>
      <c r="AW270" s="212"/>
      <c r="AX270" s="212"/>
      <c r="AY270" s="212"/>
      <c r="AZ270" s="212"/>
      <c r="BA270" s="212"/>
      <c r="BB270" s="212"/>
      <c r="BC270" s="212"/>
      <c r="BD270" s="212"/>
      <c r="BE270" s="212"/>
      <c r="BF270" s="216"/>
      <c r="BG270" s="212"/>
    </row>
    <row r="271" spans="1:59" ht="15.75" customHeight="1" x14ac:dyDescent="0.25">
      <c r="A271" s="212"/>
      <c r="B271" s="212"/>
      <c r="C271" s="212"/>
      <c r="D271" s="212"/>
      <c r="E271" s="216"/>
      <c r="F271" s="216"/>
      <c r="G271" s="269"/>
      <c r="H271" s="216"/>
      <c r="I271" s="218"/>
      <c r="J271" s="212"/>
      <c r="K271" s="212"/>
      <c r="L271" s="212"/>
      <c r="M271" s="212"/>
      <c r="N271" s="212"/>
      <c r="O271" s="217"/>
      <c r="P271" s="217"/>
      <c r="Q271" s="212"/>
      <c r="R271" s="212"/>
      <c r="S271" s="217"/>
      <c r="T271" s="217"/>
      <c r="U271" s="212"/>
      <c r="V271" s="212"/>
      <c r="W271" s="212"/>
      <c r="X271" s="212"/>
      <c r="Y271" s="212"/>
      <c r="Z271" s="212"/>
      <c r="AA271" s="219"/>
      <c r="AB271" s="216"/>
      <c r="AC271" s="216"/>
      <c r="AD271" s="216"/>
      <c r="AE271" s="216"/>
      <c r="AF271" s="212"/>
      <c r="AG271" s="212"/>
      <c r="AH271" s="212"/>
      <c r="AI271" s="216"/>
      <c r="AJ271" s="216"/>
      <c r="AK271" s="216"/>
      <c r="AL271" s="216"/>
      <c r="AM271" s="216"/>
      <c r="AN271" s="216"/>
      <c r="AO271" s="216"/>
      <c r="AP271" s="217"/>
      <c r="AQ271" s="212"/>
      <c r="AR271" s="212"/>
      <c r="AS271" s="212"/>
      <c r="AT271" s="212"/>
      <c r="AU271" s="212"/>
      <c r="AV271" s="212"/>
      <c r="AW271" s="212"/>
      <c r="AX271" s="212"/>
      <c r="AY271" s="212"/>
      <c r="AZ271" s="212"/>
      <c r="BA271" s="212"/>
      <c r="BB271" s="212"/>
      <c r="BC271" s="212"/>
      <c r="BD271" s="212"/>
      <c r="BE271" s="212"/>
      <c r="BF271" s="216"/>
      <c r="BG271" s="212"/>
    </row>
    <row r="272" spans="1:59" ht="15.75" customHeight="1" x14ac:dyDescent="0.25">
      <c r="A272" s="212"/>
      <c r="B272" s="212"/>
      <c r="C272" s="212"/>
      <c r="D272" s="212"/>
      <c r="E272" s="216"/>
      <c r="F272" s="216"/>
      <c r="G272" s="269"/>
      <c r="H272" s="216"/>
      <c r="I272" s="218"/>
      <c r="J272" s="212"/>
      <c r="K272" s="212"/>
      <c r="L272" s="212"/>
      <c r="M272" s="212"/>
      <c r="N272" s="212"/>
      <c r="O272" s="217"/>
      <c r="P272" s="217"/>
      <c r="Q272" s="212"/>
      <c r="R272" s="212"/>
      <c r="S272" s="217"/>
      <c r="T272" s="217"/>
      <c r="U272" s="212"/>
      <c r="V272" s="212"/>
      <c r="W272" s="212"/>
      <c r="X272" s="212"/>
      <c r="Y272" s="212"/>
      <c r="Z272" s="212"/>
      <c r="AA272" s="219"/>
      <c r="AB272" s="216"/>
      <c r="AC272" s="216"/>
      <c r="AD272" s="216"/>
      <c r="AE272" s="216"/>
      <c r="AF272" s="212"/>
      <c r="AG272" s="212"/>
      <c r="AH272" s="212"/>
      <c r="AI272" s="216"/>
      <c r="AJ272" s="216"/>
      <c r="AK272" s="216"/>
      <c r="AL272" s="216"/>
      <c r="AM272" s="216"/>
      <c r="AN272" s="216"/>
      <c r="AO272" s="216"/>
      <c r="AP272" s="217"/>
      <c r="AQ272" s="212"/>
      <c r="AR272" s="212"/>
      <c r="AS272" s="212"/>
      <c r="AT272" s="212"/>
      <c r="AU272" s="212"/>
      <c r="AV272" s="212"/>
      <c r="AW272" s="212"/>
      <c r="AX272" s="212"/>
      <c r="AY272" s="212"/>
      <c r="AZ272" s="212"/>
      <c r="BA272" s="212"/>
      <c r="BB272" s="212"/>
      <c r="BC272" s="212"/>
      <c r="BD272" s="212"/>
      <c r="BE272" s="212"/>
      <c r="BF272" s="216"/>
      <c r="BG272" s="212"/>
    </row>
    <row r="273" spans="1:59" ht="15.75" customHeight="1" x14ac:dyDescent="0.25">
      <c r="A273" s="212"/>
      <c r="B273" s="212"/>
      <c r="C273" s="212"/>
      <c r="D273" s="212"/>
      <c r="E273" s="216"/>
      <c r="F273" s="216"/>
      <c r="G273" s="269"/>
      <c r="H273" s="216"/>
      <c r="I273" s="218"/>
      <c r="J273" s="212"/>
      <c r="K273" s="212"/>
      <c r="L273" s="212"/>
      <c r="M273" s="212"/>
      <c r="N273" s="212"/>
      <c r="O273" s="217"/>
      <c r="P273" s="217"/>
      <c r="Q273" s="212"/>
      <c r="R273" s="212"/>
      <c r="S273" s="217"/>
      <c r="T273" s="217"/>
      <c r="U273" s="212"/>
      <c r="V273" s="212"/>
      <c r="W273" s="212"/>
      <c r="X273" s="212"/>
      <c r="Y273" s="212"/>
      <c r="Z273" s="212"/>
      <c r="AA273" s="219"/>
      <c r="AB273" s="216"/>
      <c r="AC273" s="216"/>
      <c r="AD273" s="216"/>
      <c r="AE273" s="216"/>
      <c r="AF273" s="212"/>
      <c r="AG273" s="212"/>
      <c r="AH273" s="212"/>
      <c r="AI273" s="216"/>
      <c r="AJ273" s="216"/>
      <c r="AK273" s="216"/>
      <c r="AL273" s="216"/>
      <c r="AM273" s="216"/>
      <c r="AN273" s="216"/>
      <c r="AO273" s="216"/>
      <c r="AP273" s="217"/>
      <c r="AQ273" s="212"/>
      <c r="AR273" s="212"/>
      <c r="AS273" s="212"/>
      <c r="AT273" s="212"/>
      <c r="AU273" s="212"/>
      <c r="AV273" s="212"/>
      <c r="AW273" s="212"/>
      <c r="AX273" s="212"/>
      <c r="AY273" s="212"/>
      <c r="AZ273" s="212"/>
      <c r="BA273" s="212"/>
      <c r="BB273" s="212"/>
      <c r="BC273" s="212"/>
      <c r="BD273" s="212"/>
      <c r="BE273" s="212"/>
      <c r="BF273" s="216"/>
      <c r="BG273" s="212"/>
    </row>
    <row r="274" spans="1:59" ht="15.75" customHeight="1" x14ac:dyDescent="0.25">
      <c r="A274" s="212"/>
      <c r="B274" s="212"/>
      <c r="C274" s="212"/>
      <c r="D274" s="212"/>
      <c r="E274" s="216"/>
      <c r="F274" s="216"/>
      <c r="G274" s="269"/>
      <c r="H274" s="216"/>
      <c r="I274" s="218"/>
      <c r="J274" s="212"/>
      <c r="K274" s="212"/>
      <c r="L274" s="212"/>
      <c r="M274" s="212"/>
      <c r="N274" s="212"/>
      <c r="O274" s="217"/>
      <c r="P274" s="217"/>
      <c r="Q274" s="212"/>
      <c r="R274" s="212"/>
      <c r="S274" s="217"/>
      <c r="T274" s="217"/>
      <c r="U274" s="212"/>
      <c r="V274" s="212"/>
      <c r="W274" s="212"/>
      <c r="X274" s="212"/>
      <c r="Y274" s="212"/>
      <c r="Z274" s="212"/>
      <c r="AA274" s="219"/>
      <c r="AB274" s="216"/>
      <c r="AC274" s="216"/>
      <c r="AD274" s="216"/>
      <c r="AE274" s="216"/>
      <c r="AF274" s="212"/>
      <c r="AG274" s="212"/>
      <c r="AH274" s="212"/>
      <c r="AI274" s="216"/>
      <c r="AJ274" s="216"/>
      <c r="AK274" s="216"/>
      <c r="AL274" s="216"/>
      <c r="AM274" s="216"/>
      <c r="AN274" s="216"/>
      <c r="AO274" s="216"/>
      <c r="AP274" s="217"/>
      <c r="AQ274" s="212"/>
      <c r="AR274" s="212"/>
      <c r="AS274" s="212"/>
      <c r="AT274" s="212"/>
      <c r="AU274" s="212"/>
      <c r="AV274" s="212"/>
      <c r="AW274" s="212"/>
      <c r="AX274" s="212"/>
      <c r="AY274" s="212"/>
      <c r="AZ274" s="212"/>
      <c r="BA274" s="212"/>
      <c r="BB274" s="212"/>
      <c r="BC274" s="212"/>
      <c r="BD274" s="212"/>
      <c r="BE274" s="212"/>
      <c r="BF274" s="216"/>
      <c r="BG274" s="212"/>
    </row>
    <row r="275" spans="1:59" ht="15.75" customHeight="1" x14ac:dyDescent="0.25">
      <c r="A275" s="212"/>
      <c r="B275" s="212"/>
      <c r="C275" s="212"/>
      <c r="D275" s="212"/>
      <c r="E275" s="216"/>
      <c r="F275" s="216"/>
      <c r="G275" s="269"/>
      <c r="H275" s="216"/>
      <c r="I275" s="218"/>
      <c r="J275" s="212"/>
      <c r="K275" s="212"/>
      <c r="L275" s="212"/>
      <c r="M275" s="212"/>
      <c r="N275" s="212"/>
      <c r="O275" s="217"/>
      <c r="P275" s="217"/>
      <c r="Q275" s="212"/>
      <c r="R275" s="212"/>
      <c r="S275" s="217"/>
      <c r="T275" s="217"/>
      <c r="U275" s="212"/>
      <c r="V275" s="212"/>
      <c r="W275" s="212"/>
      <c r="X275" s="212"/>
      <c r="Y275" s="212"/>
      <c r="Z275" s="212"/>
      <c r="AA275" s="219"/>
      <c r="AB275" s="216"/>
      <c r="AC275" s="216"/>
      <c r="AD275" s="216"/>
      <c r="AE275" s="216"/>
      <c r="AF275" s="212"/>
      <c r="AG275" s="212"/>
      <c r="AH275" s="212"/>
      <c r="AI275" s="216"/>
      <c r="AJ275" s="216"/>
      <c r="AK275" s="216"/>
      <c r="AL275" s="216"/>
      <c r="AM275" s="216"/>
      <c r="AN275" s="216"/>
      <c r="AO275" s="216"/>
      <c r="AP275" s="217"/>
      <c r="AQ275" s="212"/>
      <c r="AR275" s="212"/>
      <c r="AS275" s="212"/>
      <c r="AT275" s="212"/>
      <c r="AU275" s="212"/>
      <c r="AV275" s="212"/>
      <c r="AW275" s="212"/>
      <c r="AX275" s="212"/>
      <c r="AY275" s="212"/>
      <c r="AZ275" s="212"/>
      <c r="BA275" s="212"/>
      <c r="BB275" s="212"/>
      <c r="BC275" s="212"/>
      <c r="BD275" s="212"/>
      <c r="BE275" s="212"/>
      <c r="BF275" s="216"/>
      <c r="BG275" s="212"/>
    </row>
    <row r="276" spans="1:59" ht="15.75" customHeight="1" x14ac:dyDescent="0.25">
      <c r="A276" s="212"/>
      <c r="B276" s="212"/>
      <c r="C276" s="212"/>
      <c r="D276" s="212"/>
      <c r="E276" s="216"/>
      <c r="F276" s="216"/>
      <c r="G276" s="269"/>
      <c r="H276" s="216"/>
      <c r="I276" s="218"/>
      <c r="J276" s="212"/>
      <c r="K276" s="212"/>
      <c r="L276" s="212"/>
      <c r="M276" s="212"/>
      <c r="N276" s="212"/>
      <c r="O276" s="217"/>
      <c r="P276" s="217"/>
      <c r="Q276" s="212"/>
      <c r="R276" s="212"/>
      <c r="S276" s="217"/>
      <c r="T276" s="217"/>
      <c r="U276" s="212"/>
      <c r="V276" s="212"/>
      <c r="W276" s="212"/>
      <c r="X276" s="212"/>
      <c r="Y276" s="212"/>
      <c r="Z276" s="212"/>
      <c r="AA276" s="219"/>
      <c r="AB276" s="216"/>
      <c r="AC276" s="216"/>
      <c r="AD276" s="216"/>
      <c r="AE276" s="216"/>
      <c r="AF276" s="212"/>
      <c r="AG276" s="212"/>
      <c r="AH276" s="212"/>
      <c r="AI276" s="216"/>
      <c r="AJ276" s="216"/>
      <c r="AK276" s="216"/>
      <c r="AL276" s="216"/>
      <c r="AM276" s="216"/>
      <c r="AN276" s="216"/>
      <c r="AO276" s="216"/>
      <c r="AP276" s="217"/>
      <c r="AQ276" s="212"/>
      <c r="AR276" s="212"/>
      <c r="AS276" s="212"/>
      <c r="AT276" s="212"/>
      <c r="AU276" s="212"/>
      <c r="AV276" s="212"/>
      <c r="AW276" s="212"/>
      <c r="AX276" s="212"/>
      <c r="AY276" s="212"/>
      <c r="AZ276" s="212"/>
      <c r="BA276" s="212"/>
      <c r="BB276" s="212"/>
      <c r="BC276" s="212"/>
      <c r="BD276" s="212"/>
      <c r="BE276" s="212"/>
      <c r="BF276" s="216"/>
      <c r="BG276" s="212"/>
    </row>
    <row r="277" spans="1:59" ht="15.75" customHeight="1" x14ac:dyDescent="0.25">
      <c r="A277" s="212"/>
      <c r="B277" s="212"/>
      <c r="C277" s="212"/>
      <c r="D277" s="212"/>
      <c r="E277" s="216"/>
      <c r="F277" s="216"/>
      <c r="G277" s="269"/>
      <c r="H277" s="216"/>
      <c r="I277" s="218"/>
      <c r="J277" s="212"/>
      <c r="K277" s="212"/>
      <c r="L277" s="212"/>
      <c r="M277" s="212"/>
      <c r="N277" s="212"/>
      <c r="O277" s="217"/>
      <c r="P277" s="217"/>
      <c r="Q277" s="212"/>
      <c r="R277" s="212"/>
      <c r="S277" s="217"/>
      <c r="T277" s="217"/>
      <c r="U277" s="212"/>
      <c r="V277" s="212"/>
      <c r="W277" s="212"/>
      <c r="X277" s="212"/>
      <c r="Y277" s="212"/>
      <c r="Z277" s="212"/>
      <c r="AA277" s="219"/>
      <c r="AB277" s="216"/>
      <c r="AC277" s="216"/>
      <c r="AD277" s="216"/>
      <c r="AE277" s="216"/>
      <c r="AF277" s="212"/>
      <c r="AG277" s="212"/>
      <c r="AH277" s="212"/>
      <c r="AI277" s="216"/>
      <c r="AJ277" s="216"/>
      <c r="AK277" s="216"/>
      <c r="AL277" s="216"/>
      <c r="AM277" s="216"/>
      <c r="AN277" s="216"/>
      <c r="AO277" s="216"/>
      <c r="AP277" s="217"/>
      <c r="AQ277" s="212"/>
      <c r="AR277" s="212"/>
      <c r="AS277" s="212"/>
      <c r="AT277" s="212"/>
      <c r="AU277" s="212"/>
      <c r="AV277" s="212"/>
      <c r="AW277" s="212"/>
      <c r="AX277" s="212"/>
      <c r="AY277" s="212"/>
      <c r="AZ277" s="212"/>
      <c r="BA277" s="212"/>
      <c r="BB277" s="212"/>
      <c r="BC277" s="212"/>
      <c r="BD277" s="212"/>
      <c r="BE277" s="212"/>
      <c r="BF277" s="216"/>
      <c r="BG277" s="212"/>
    </row>
    <row r="278" spans="1:59" ht="15.75" customHeight="1" x14ac:dyDescent="0.25">
      <c r="A278" s="212"/>
      <c r="B278" s="212"/>
      <c r="C278" s="212"/>
      <c r="D278" s="212"/>
      <c r="E278" s="216"/>
      <c r="F278" s="216"/>
      <c r="G278" s="269"/>
      <c r="H278" s="216"/>
      <c r="I278" s="218"/>
      <c r="J278" s="212"/>
      <c r="K278" s="212"/>
      <c r="L278" s="212"/>
      <c r="M278" s="212"/>
      <c r="N278" s="212"/>
      <c r="O278" s="217"/>
      <c r="P278" s="217"/>
      <c r="Q278" s="212"/>
      <c r="R278" s="212"/>
      <c r="S278" s="217"/>
      <c r="T278" s="217"/>
      <c r="U278" s="212"/>
      <c r="V278" s="212"/>
      <c r="W278" s="212"/>
      <c r="X278" s="212"/>
      <c r="Y278" s="212"/>
      <c r="Z278" s="212"/>
      <c r="AA278" s="219"/>
      <c r="AB278" s="216"/>
      <c r="AC278" s="216"/>
      <c r="AD278" s="216"/>
      <c r="AE278" s="216"/>
      <c r="AF278" s="212"/>
      <c r="AG278" s="212"/>
      <c r="AH278" s="212"/>
      <c r="AI278" s="216"/>
      <c r="AJ278" s="216"/>
      <c r="AK278" s="216"/>
      <c r="AL278" s="216"/>
      <c r="AM278" s="216"/>
      <c r="AN278" s="216"/>
      <c r="AO278" s="216"/>
      <c r="AP278" s="217"/>
      <c r="AQ278" s="212"/>
      <c r="AR278" s="212"/>
      <c r="AS278" s="212"/>
      <c r="AT278" s="212"/>
      <c r="AU278" s="212"/>
      <c r="AV278" s="212"/>
      <c r="AW278" s="212"/>
      <c r="AX278" s="212"/>
      <c r="AY278" s="212"/>
      <c r="AZ278" s="212"/>
      <c r="BA278" s="212"/>
      <c r="BB278" s="212"/>
      <c r="BC278" s="212"/>
      <c r="BD278" s="212"/>
      <c r="BE278" s="212"/>
      <c r="BF278" s="216"/>
      <c r="BG278" s="212"/>
    </row>
    <row r="279" spans="1:59" ht="15.75" customHeight="1" x14ac:dyDescent="0.25">
      <c r="A279" s="212"/>
      <c r="B279" s="212"/>
      <c r="C279" s="212"/>
      <c r="D279" s="212"/>
      <c r="E279" s="216"/>
      <c r="F279" s="216"/>
      <c r="G279" s="269"/>
      <c r="H279" s="216"/>
      <c r="I279" s="218"/>
      <c r="J279" s="212"/>
      <c r="K279" s="212"/>
      <c r="L279" s="212"/>
      <c r="M279" s="212"/>
      <c r="N279" s="212"/>
      <c r="O279" s="217"/>
      <c r="P279" s="217"/>
      <c r="Q279" s="212"/>
      <c r="R279" s="212"/>
      <c r="S279" s="217"/>
      <c r="T279" s="217"/>
      <c r="U279" s="212"/>
      <c r="V279" s="212"/>
      <c r="W279" s="212"/>
      <c r="X279" s="212"/>
      <c r="Y279" s="212"/>
      <c r="Z279" s="212"/>
      <c r="AA279" s="219"/>
      <c r="AB279" s="216"/>
      <c r="AC279" s="216"/>
      <c r="AD279" s="216"/>
      <c r="AE279" s="216"/>
      <c r="AF279" s="212"/>
      <c r="AG279" s="212"/>
      <c r="AH279" s="212"/>
      <c r="AI279" s="216"/>
      <c r="AJ279" s="216"/>
      <c r="AK279" s="216"/>
      <c r="AL279" s="216"/>
      <c r="AM279" s="216"/>
      <c r="AN279" s="216"/>
      <c r="AO279" s="216"/>
      <c r="AP279" s="217"/>
      <c r="AQ279" s="212"/>
      <c r="AR279" s="212"/>
      <c r="AS279" s="212"/>
      <c r="AT279" s="212"/>
      <c r="AU279" s="212"/>
      <c r="AV279" s="212"/>
      <c r="AW279" s="212"/>
      <c r="AX279" s="212"/>
      <c r="AY279" s="212"/>
      <c r="AZ279" s="212"/>
      <c r="BA279" s="212"/>
      <c r="BB279" s="212"/>
      <c r="BC279" s="212"/>
      <c r="BD279" s="212"/>
      <c r="BE279" s="212"/>
      <c r="BF279" s="216"/>
      <c r="BG279" s="212"/>
    </row>
    <row r="280" spans="1:59" ht="15.75" customHeight="1" x14ac:dyDescent="0.25">
      <c r="A280" s="212"/>
      <c r="B280" s="212"/>
      <c r="C280" s="212"/>
      <c r="D280" s="212"/>
      <c r="E280" s="216"/>
      <c r="F280" s="216"/>
      <c r="G280" s="269"/>
      <c r="H280" s="216"/>
      <c r="I280" s="218"/>
      <c r="J280" s="212"/>
      <c r="K280" s="212"/>
      <c r="L280" s="212"/>
      <c r="M280" s="212"/>
      <c r="N280" s="212"/>
      <c r="O280" s="217"/>
      <c r="P280" s="217"/>
      <c r="Q280" s="212"/>
      <c r="R280" s="212"/>
      <c r="S280" s="217"/>
      <c r="T280" s="217"/>
      <c r="U280" s="212"/>
      <c r="V280" s="212"/>
      <c r="W280" s="212"/>
      <c r="X280" s="212"/>
      <c r="Y280" s="212"/>
      <c r="Z280" s="212"/>
      <c r="AA280" s="219"/>
      <c r="AB280" s="216"/>
      <c r="AC280" s="216"/>
      <c r="AD280" s="216"/>
      <c r="AE280" s="216"/>
      <c r="AF280" s="212"/>
      <c r="AG280" s="212"/>
      <c r="AH280" s="212"/>
      <c r="AI280" s="216"/>
      <c r="AJ280" s="216"/>
      <c r="AK280" s="216"/>
      <c r="AL280" s="216"/>
      <c r="AM280" s="216"/>
      <c r="AN280" s="216"/>
      <c r="AO280" s="216"/>
      <c r="AP280" s="217"/>
      <c r="AQ280" s="212"/>
      <c r="AR280" s="212"/>
      <c r="AS280" s="212"/>
      <c r="AT280" s="212"/>
      <c r="AU280" s="212"/>
      <c r="AV280" s="212"/>
      <c r="AW280" s="212"/>
      <c r="AX280" s="212"/>
      <c r="AY280" s="212"/>
      <c r="AZ280" s="212"/>
      <c r="BA280" s="212"/>
      <c r="BB280" s="212"/>
      <c r="BC280" s="212"/>
      <c r="BD280" s="212"/>
      <c r="BE280" s="212"/>
      <c r="BF280" s="216"/>
      <c r="BG280" s="212"/>
    </row>
    <row r="281" spans="1:59" ht="15.75" customHeight="1" x14ac:dyDescent="0.25">
      <c r="A281" s="212"/>
      <c r="B281" s="212"/>
      <c r="C281" s="212"/>
      <c r="D281" s="212"/>
      <c r="E281" s="216"/>
      <c r="F281" s="216"/>
      <c r="G281" s="269"/>
      <c r="H281" s="216"/>
      <c r="I281" s="218"/>
      <c r="J281" s="212"/>
      <c r="K281" s="212"/>
      <c r="L281" s="212"/>
      <c r="M281" s="212"/>
      <c r="N281" s="212"/>
      <c r="O281" s="217"/>
      <c r="P281" s="217"/>
      <c r="Q281" s="212"/>
      <c r="R281" s="212"/>
      <c r="S281" s="217"/>
      <c r="T281" s="217"/>
      <c r="U281" s="212"/>
      <c r="V281" s="212"/>
      <c r="W281" s="212"/>
      <c r="X281" s="212"/>
      <c r="Y281" s="212"/>
      <c r="Z281" s="212"/>
      <c r="AA281" s="219"/>
      <c r="AB281" s="216"/>
      <c r="AC281" s="216"/>
      <c r="AD281" s="216"/>
      <c r="AE281" s="216"/>
      <c r="AF281" s="212"/>
      <c r="AG281" s="212"/>
      <c r="AH281" s="212"/>
      <c r="AI281" s="216"/>
      <c r="AJ281" s="216"/>
      <c r="AK281" s="216"/>
      <c r="AL281" s="216"/>
      <c r="AM281" s="216"/>
      <c r="AN281" s="216"/>
      <c r="AO281" s="216"/>
      <c r="AP281" s="217"/>
      <c r="AQ281" s="212"/>
      <c r="AR281" s="212"/>
      <c r="AS281" s="212"/>
      <c r="AT281" s="212"/>
      <c r="AU281" s="212"/>
      <c r="AV281" s="212"/>
      <c r="AW281" s="212"/>
      <c r="AX281" s="212"/>
      <c r="AY281" s="212"/>
      <c r="AZ281" s="212"/>
      <c r="BA281" s="212"/>
      <c r="BB281" s="212"/>
      <c r="BC281" s="212"/>
      <c r="BD281" s="212"/>
      <c r="BE281" s="212"/>
      <c r="BF281" s="216"/>
      <c r="BG281" s="212"/>
    </row>
    <row r="282" spans="1:59" ht="15.75" customHeight="1" x14ac:dyDescent="0.25">
      <c r="A282" s="212"/>
      <c r="B282" s="212"/>
      <c r="C282" s="212"/>
      <c r="D282" s="212"/>
      <c r="E282" s="216"/>
      <c r="F282" s="216"/>
      <c r="G282" s="269"/>
      <c r="H282" s="216"/>
      <c r="I282" s="218"/>
      <c r="J282" s="212"/>
      <c r="K282" s="212"/>
      <c r="L282" s="212"/>
      <c r="M282" s="212"/>
      <c r="N282" s="212"/>
      <c r="O282" s="217"/>
      <c r="P282" s="217"/>
      <c r="Q282" s="212"/>
      <c r="R282" s="212"/>
      <c r="S282" s="217"/>
      <c r="T282" s="217"/>
      <c r="U282" s="212"/>
      <c r="V282" s="212"/>
      <c r="W282" s="212"/>
      <c r="X282" s="212"/>
      <c r="Y282" s="212"/>
      <c r="Z282" s="212"/>
      <c r="AA282" s="219"/>
      <c r="AB282" s="216"/>
      <c r="AC282" s="216"/>
      <c r="AD282" s="216"/>
      <c r="AE282" s="216"/>
      <c r="AF282" s="212"/>
      <c r="AG282" s="212"/>
      <c r="AH282" s="212"/>
      <c r="AI282" s="216"/>
      <c r="AJ282" s="216"/>
      <c r="AK282" s="216"/>
      <c r="AL282" s="216"/>
      <c r="AM282" s="216"/>
      <c r="AN282" s="216"/>
      <c r="AO282" s="216"/>
      <c r="AP282" s="217"/>
      <c r="AQ282" s="212"/>
      <c r="AR282" s="212"/>
      <c r="AS282" s="212"/>
      <c r="AT282" s="212"/>
      <c r="AU282" s="212"/>
      <c r="AV282" s="212"/>
      <c r="AW282" s="212"/>
      <c r="AX282" s="212"/>
      <c r="AY282" s="212"/>
      <c r="AZ282" s="212"/>
      <c r="BA282" s="212"/>
      <c r="BB282" s="212"/>
      <c r="BC282" s="212"/>
      <c r="BD282" s="212"/>
      <c r="BE282" s="212"/>
      <c r="BF282" s="216"/>
      <c r="BG282" s="212"/>
    </row>
    <row r="283" spans="1:59" ht="15.75" customHeight="1" x14ac:dyDescent="0.25">
      <c r="A283" s="212"/>
      <c r="B283" s="212"/>
      <c r="C283" s="212"/>
      <c r="D283" s="212"/>
      <c r="E283" s="216"/>
      <c r="F283" s="216"/>
      <c r="G283" s="269"/>
      <c r="H283" s="216"/>
      <c r="I283" s="218"/>
      <c r="J283" s="212"/>
      <c r="K283" s="212"/>
      <c r="L283" s="212"/>
      <c r="M283" s="212"/>
      <c r="N283" s="212"/>
      <c r="O283" s="217"/>
      <c r="P283" s="217"/>
      <c r="Q283" s="212"/>
      <c r="R283" s="212"/>
      <c r="S283" s="217"/>
      <c r="T283" s="217"/>
      <c r="U283" s="212"/>
      <c r="V283" s="212"/>
      <c r="W283" s="212"/>
      <c r="X283" s="212"/>
      <c r="Y283" s="212"/>
      <c r="Z283" s="212"/>
      <c r="AA283" s="219"/>
      <c r="AB283" s="216"/>
      <c r="AC283" s="216"/>
      <c r="AD283" s="216"/>
      <c r="AE283" s="216"/>
      <c r="AF283" s="212"/>
      <c r="AG283" s="212"/>
      <c r="AH283" s="212"/>
      <c r="AI283" s="216"/>
      <c r="AJ283" s="216"/>
      <c r="AK283" s="216"/>
      <c r="AL283" s="216"/>
      <c r="AM283" s="216"/>
      <c r="AN283" s="216"/>
      <c r="AO283" s="216"/>
      <c r="AP283" s="217"/>
      <c r="AQ283" s="212"/>
      <c r="AR283" s="212"/>
      <c r="AS283" s="212"/>
      <c r="AT283" s="212"/>
      <c r="AU283" s="212"/>
      <c r="AV283" s="212"/>
      <c r="AW283" s="212"/>
      <c r="AX283" s="212"/>
      <c r="AY283" s="212"/>
      <c r="AZ283" s="212"/>
      <c r="BA283" s="212"/>
      <c r="BB283" s="212"/>
      <c r="BC283" s="212"/>
      <c r="BD283" s="212"/>
      <c r="BE283" s="212"/>
      <c r="BF283" s="216"/>
      <c r="BG283" s="212"/>
    </row>
    <row r="284" spans="1:59" ht="15.75" customHeight="1" x14ac:dyDescent="0.25">
      <c r="A284" s="212"/>
      <c r="B284" s="212"/>
      <c r="C284" s="212"/>
      <c r="D284" s="212"/>
      <c r="E284" s="216"/>
      <c r="F284" s="216"/>
      <c r="G284" s="269"/>
      <c r="H284" s="216"/>
      <c r="I284" s="218"/>
      <c r="J284" s="212"/>
      <c r="K284" s="212"/>
      <c r="L284" s="212"/>
      <c r="M284" s="212"/>
      <c r="N284" s="212"/>
      <c r="O284" s="217"/>
      <c r="P284" s="217"/>
      <c r="Q284" s="212"/>
      <c r="R284" s="212"/>
      <c r="S284" s="217"/>
      <c r="T284" s="217"/>
      <c r="U284" s="212"/>
      <c r="V284" s="212"/>
      <c r="W284" s="212"/>
      <c r="X284" s="212"/>
      <c r="Y284" s="212"/>
      <c r="Z284" s="212"/>
      <c r="AA284" s="219"/>
      <c r="AB284" s="216"/>
      <c r="AC284" s="216"/>
      <c r="AD284" s="216"/>
      <c r="AE284" s="216"/>
      <c r="AF284" s="212"/>
      <c r="AG284" s="212"/>
      <c r="AH284" s="212"/>
      <c r="AI284" s="216"/>
      <c r="AJ284" s="216"/>
      <c r="AK284" s="216"/>
      <c r="AL284" s="216"/>
      <c r="AM284" s="216"/>
      <c r="AN284" s="216"/>
      <c r="AO284" s="216"/>
      <c r="AP284" s="217"/>
      <c r="AQ284" s="212"/>
      <c r="AR284" s="212"/>
      <c r="AS284" s="212"/>
      <c r="AT284" s="212"/>
      <c r="AU284" s="212"/>
      <c r="AV284" s="212"/>
      <c r="AW284" s="212"/>
      <c r="AX284" s="212"/>
      <c r="AY284" s="212"/>
      <c r="AZ284" s="212"/>
      <c r="BA284" s="212"/>
      <c r="BB284" s="212"/>
      <c r="BC284" s="212"/>
      <c r="BD284" s="212"/>
      <c r="BE284" s="212"/>
      <c r="BF284" s="216"/>
      <c r="BG284" s="212"/>
    </row>
    <row r="285" spans="1:59" ht="15.75" customHeight="1" x14ac:dyDescent="0.25">
      <c r="A285" s="212"/>
      <c r="B285" s="212"/>
      <c r="C285" s="212"/>
      <c r="D285" s="212"/>
      <c r="E285" s="216"/>
      <c r="F285" s="216"/>
      <c r="G285" s="269"/>
      <c r="H285" s="216"/>
      <c r="I285" s="218"/>
      <c r="J285" s="212"/>
      <c r="K285" s="212"/>
      <c r="L285" s="212"/>
      <c r="M285" s="212"/>
      <c r="N285" s="212"/>
      <c r="O285" s="217"/>
      <c r="P285" s="217"/>
      <c r="Q285" s="212"/>
      <c r="R285" s="212"/>
      <c r="S285" s="217"/>
      <c r="T285" s="217"/>
      <c r="U285" s="212"/>
      <c r="V285" s="212"/>
      <c r="W285" s="212"/>
      <c r="X285" s="212"/>
      <c r="Y285" s="212"/>
      <c r="Z285" s="212"/>
      <c r="AA285" s="219"/>
      <c r="AB285" s="216"/>
      <c r="AC285" s="216"/>
      <c r="AD285" s="216"/>
      <c r="AE285" s="216"/>
      <c r="AF285" s="212"/>
      <c r="AG285" s="212"/>
      <c r="AH285" s="212"/>
      <c r="AI285" s="216"/>
      <c r="AJ285" s="216"/>
      <c r="AK285" s="216"/>
      <c r="AL285" s="216"/>
      <c r="AM285" s="216"/>
      <c r="AN285" s="216"/>
      <c r="AO285" s="216"/>
      <c r="AP285" s="217"/>
      <c r="AQ285" s="212"/>
      <c r="AR285" s="212"/>
      <c r="AS285" s="212"/>
      <c r="AT285" s="212"/>
      <c r="AU285" s="212"/>
      <c r="AV285" s="212"/>
      <c r="AW285" s="212"/>
      <c r="AX285" s="212"/>
      <c r="AY285" s="212"/>
      <c r="AZ285" s="212"/>
      <c r="BA285" s="212"/>
      <c r="BB285" s="212"/>
      <c r="BC285" s="212"/>
      <c r="BD285" s="212"/>
      <c r="BE285" s="212"/>
      <c r="BF285" s="216"/>
      <c r="BG285" s="212"/>
    </row>
    <row r="286" spans="1:59" ht="15.75" customHeight="1" x14ac:dyDescent="0.25">
      <c r="A286" s="212"/>
      <c r="B286" s="212"/>
      <c r="C286" s="212"/>
      <c r="D286" s="212"/>
      <c r="E286" s="216"/>
      <c r="F286" s="216"/>
      <c r="G286" s="269"/>
      <c r="H286" s="216"/>
      <c r="I286" s="218"/>
      <c r="J286" s="212"/>
      <c r="K286" s="212"/>
      <c r="L286" s="212"/>
      <c r="M286" s="212"/>
      <c r="N286" s="212"/>
      <c r="O286" s="217"/>
      <c r="P286" s="217"/>
      <c r="Q286" s="212"/>
      <c r="R286" s="212"/>
      <c r="S286" s="217"/>
      <c r="T286" s="217"/>
      <c r="U286" s="212"/>
      <c r="V286" s="212"/>
      <c r="W286" s="212"/>
      <c r="X286" s="212"/>
      <c r="Y286" s="212"/>
      <c r="Z286" s="212"/>
      <c r="AA286" s="219"/>
      <c r="AB286" s="216"/>
      <c r="AC286" s="216"/>
      <c r="AD286" s="216"/>
      <c r="AE286" s="216"/>
      <c r="AF286" s="212"/>
      <c r="AG286" s="212"/>
      <c r="AH286" s="212"/>
      <c r="AI286" s="216"/>
      <c r="AJ286" s="216"/>
      <c r="AK286" s="216"/>
      <c r="AL286" s="216"/>
      <c r="AM286" s="216"/>
      <c r="AN286" s="216"/>
      <c r="AO286" s="216"/>
      <c r="AP286" s="217"/>
      <c r="AQ286" s="212"/>
      <c r="AR286" s="212"/>
      <c r="AS286" s="212"/>
      <c r="AT286" s="212"/>
      <c r="AU286" s="212"/>
      <c r="AV286" s="212"/>
      <c r="AW286" s="212"/>
      <c r="AX286" s="212"/>
      <c r="AY286" s="212"/>
      <c r="AZ286" s="212"/>
      <c r="BA286" s="212"/>
      <c r="BB286" s="212"/>
      <c r="BC286" s="212"/>
      <c r="BD286" s="212"/>
      <c r="BE286" s="212"/>
      <c r="BF286" s="216"/>
      <c r="BG286" s="212"/>
    </row>
    <row r="287" spans="1:59" ht="15.75" customHeight="1" x14ac:dyDescent="0.25">
      <c r="A287" s="212"/>
      <c r="B287" s="212"/>
      <c r="C287" s="212"/>
      <c r="D287" s="212"/>
      <c r="E287" s="216"/>
      <c r="F287" s="216"/>
      <c r="G287" s="269"/>
      <c r="H287" s="216"/>
      <c r="I287" s="218"/>
      <c r="J287" s="212"/>
      <c r="K287" s="212"/>
      <c r="L287" s="212"/>
      <c r="M287" s="212"/>
      <c r="N287" s="212"/>
      <c r="O287" s="217"/>
      <c r="P287" s="217"/>
      <c r="Q287" s="212"/>
      <c r="R287" s="212"/>
      <c r="S287" s="217"/>
      <c r="T287" s="217"/>
      <c r="U287" s="212"/>
      <c r="V287" s="212"/>
      <c r="W287" s="212"/>
      <c r="X287" s="212"/>
      <c r="Y287" s="212"/>
      <c r="Z287" s="212"/>
      <c r="AA287" s="219"/>
      <c r="AB287" s="216"/>
      <c r="AC287" s="216"/>
      <c r="AD287" s="216"/>
      <c r="AE287" s="216"/>
      <c r="AF287" s="212"/>
      <c r="AG287" s="212"/>
      <c r="AH287" s="212"/>
      <c r="AI287" s="216"/>
      <c r="AJ287" s="216"/>
      <c r="AK287" s="216"/>
      <c r="AL287" s="216"/>
      <c r="AM287" s="216"/>
      <c r="AN287" s="216"/>
      <c r="AO287" s="216"/>
      <c r="AP287" s="217"/>
      <c r="AQ287" s="212"/>
      <c r="AR287" s="212"/>
      <c r="AS287" s="212"/>
      <c r="AT287" s="212"/>
      <c r="AU287" s="212"/>
      <c r="AV287" s="212"/>
      <c r="AW287" s="212"/>
      <c r="AX287" s="212"/>
      <c r="AY287" s="212"/>
      <c r="AZ287" s="212"/>
      <c r="BA287" s="212"/>
      <c r="BB287" s="212"/>
      <c r="BC287" s="212"/>
      <c r="BD287" s="212"/>
      <c r="BE287" s="212"/>
      <c r="BF287" s="216"/>
      <c r="BG287" s="212"/>
    </row>
    <row r="288" spans="1:59" ht="15.75" customHeight="1" x14ac:dyDescent="0.25">
      <c r="A288" s="212"/>
      <c r="B288" s="212"/>
      <c r="C288" s="212"/>
      <c r="D288" s="212"/>
      <c r="E288" s="216"/>
      <c r="F288" s="216"/>
      <c r="G288" s="269"/>
      <c r="H288" s="216"/>
      <c r="I288" s="218"/>
      <c r="J288" s="212"/>
      <c r="K288" s="212"/>
      <c r="L288" s="212"/>
      <c r="M288" s="212"/>
      <c r="N288" s="212"/>
      <c r="O288" s="217"/>
      <c r="P288" s="217"/>
      <c r="Q288" s="212"/>
      <c r="R288" s="212"/>
      <c r="S288" s="217"/>
      <c r="T288" s="217"/>
      <c r="U288" s="212"/>
      <c r="V288" s="212"/>
      <c r="W288" s="212"/>
      <c r="X288" s="212"/>
      <c r="Y288" s="212"/>
      <c r="Z288" s="212"/>
      <c r="AA288" s="219"/>
      <c r="AB288" s="216"/>
      <c r="AC288" s="216"/>
      <c r="AD288" s="216"/>
      <c r="AE288" s="216"/>
      <c r="AF288" s="212"/>
      <c r="AG288" s="212"/>
      <c r="AH288" s="212"/>
      <c r="AI288" s="216"/>
      <c r="AJ288" s="216"/>
      <c r="AK288" s="216"/>
      <c r="AL288" s="216"/>
      <c r="AM288" s="216"/>
      <c r="AN288" s="216"/>
      <c r="AO288" s="216"/>
      <c r="AP288" s="217"/>
      <c r="AQ288" s="212"/>
      <c r="AR288" s="212"/>
      <c r="AS288" s="212"/>
      <c r="AT288" s="212"/>
      <c r="AU288" s="212"/>
      <c r="AV288" s="212"/>
      <c r="AW288" s="212"/>
      <c r="AX288" s="212"/>
      <c r="AY288" s="212"/>
      <c r="AZ288" s="212"/>
      <c r="BA288" s="212"/>
      <c r="BB288" s="212"/>
      <c r="BC288" s="212"/>
      <c r="BD288" s="212"/>
      <c r="BE288" s="212"/>
      <c r="BF288" s="216"/>
      <c r="BG288" s="212"/>
    </row>
    <row r="289" spans="1:59" ht="15.75" customHeight="1" x14ac:dyDescent="0.25">
      <c r="A289" s="212"/>
      <c r="B289" s="212"/>
      <c r="C289" s="212"/>
      <c r="D289" s="212"/>
      <c r="E289" s="216"/>
      <c r="F289" s="216"/>
      <c r="G289" s="269"/>
      <c r="H289" s="216"/>
      <c r="I289" s="218"/>
      <c r="J289" s="212"/>
      <c r="K289" s="212"/>
      <c r="L289" s="212"/>
      <c r="M289" s="212"/>
      <c r="N289" s="212"/>
      <c r="O289" s="217"/>
      <c r="P289" s="217"/>
      <c r="Q289" s="212"/>
      <c r="R289" s="212"/>
      <c r="S289" s="217"/>
      <c r="T289" s="217"/>
      <c r="U289" s="212"/>
      <c r="V289" s="212"/>
      <c r="W289" s="212"/>
      <c r="X289" s="212"/>
      <c r="Y289" s="212"/>
      <c r="Z289" s="212"/>
      <c r="AA289" s="219"/>
      <c r="AB289" s="216"/>
      <c r="AC289" s="216"/>
      <c r="AD289" s="216"/>
      <c r="AE289" s="216"/>
      <c r="AF289" s="212"/>
      <c r="AG289" s="212"/>
      <c r="AH289" s="212"/>
      <c r="AI289" s="216"/>
      <c r="AJ289" s="216"/>
      <c r="AK289" s="216"/>
      <c r="AL289" s="216"/>
      <c r="AM289" s="216"/>
      <c r="AN289" s="216"/>
      <c r="AO289" s="216"/>
      <c r="AP289" s="217"/>
      <c r="AQ289" s="212"/>
      <c r="AR289" s="212"/>
      <c r="AS289" s="212"/>
      <c r="AT289" s="212"/>
      <c r="AU289" s="212"/>
      <c r="AV289" s="212"/>
      <c r="AW289" s="212"/>
      <c r="AX289" s="212"/>
      <c r="AY289" s="212"/>
      <c r="AZ289" s="212"/>
      <c r="BA289" s="212"/>
      <c r="BB289" s="212"/>
      <c r="BC289" s="212"/>
      <c r="BD289" s="212"/>
      <c r="BE289" s="212"/>
      <c r="BF289" s="216"/>
      <c r="BG289" s="212"/>
    </row>
    <row r="290" spans="1:59" ht="15.75" customHeight="1" x14ac:dyDescent="0.25">
      <c r="A290" s="212"/>
      <c r="B290" s="212"/>
      <c r="C290" s="212"/>
      <c r="D290" s="212"/>
      <c r="E290" s="216"/>
      <c r="F290" s="216"/>
      <c r="G290" s="269"/>
      <c r="H290" s="216"/>
      <c r="I290" s="218"/>
      <c r="J290" s="212"/>
      <c r="K290" s="212"/>
      <c r="L290" s="212"/>
      <c r="M290" s="212"/>
      <c r="N290" s="212"/>
      <c r="O290" s="217"/>
      <c r="P290" s="217"/>
      <c r="Q290" s="212"/>
      <c r="R290" s="212"/>
      <c r="S290" s="217"/>
      <c r="T290" s="217"/>
      <c r="U290" s="212"/>
      <c r="V290" s="212"/>
      <c r="W290" s="212"/>
      <c r="X290" s="212"/>
      <c r="Y290" s="212"/>
      <c r="Z290" s="212"/>
      <c r="AA290" s="219"/>
      <c r="AB290" s="216"/>
      <c r="AC290" s="216"/>
      <c r="AD290" s="216"/>
      <c r="AE290" s="216"/>
      <c r="AF290" s="212"/>
      <c r="AG290" s="212"/>
      <c r="AH290" s="212"/>
      <c r="AI290" s="216"/>
      <c r="AJ290" s="216"/>
      <c r="AK290" s="216"/>
      <c r="AL290" s="216"/>
      <c r="AM290" s="216"/>
      <c r="AN290" s="216"/>
      <c r="AO290" s="216"/>
      <c r="AP290" s="217"/>
      <c r="AQ290" s="212"/>
      <c r="AR290" s="212"/>
      <c r="AS290" s="212"/>
      <c r="AT290" s="212"/>
      <c r="AU290" s="212"/>
      <c r="AV290" s="212"/>
      <c r="AW290" s="212"/>
      <c r="AX290" s="212"/>
      <c r="AY290" s="212"/>
      <c r="AZ290" s="212"/>
      <c r="BA290" s="212"/>
      <c r="BB290" s="212"/>
      <c r="BC290" s="212"/>
      <c r="BD290" s="212"/>
      <c r="BE290" s="212"/>
      <c r="BF290" s="216"/>
      <c r="BG290" s="212"/>
    </row>
    <row r="291" spans="1:59" ht="15.75" customHeight="1" x14ac:dyDescent="0.25">
      <c r="A291" s="212"/>
      <c r="B291" s="212"/>
      <c r="C291" s="212"/>
      <c r="D291" s="212"/>
      <c r="E291" s="216"/>
      <c r="F291" s="216"/>
      <c r="G291" s="269"/>
      <c r="H291" s="216"/>
      <c r="I291" s="218"/>
      <c r="J291" s="212"/>
      <c r="K291" s="212"/>
      <c r="L291" s="212"/>
      <c r="M291" s="212"/>
      <c r="N291" s="212"/>
      <c r="O291" s="217"/>
      <c r="P291" s="217"/>
      <c r="Q291" s="212"/>
      <c r="R291" s="212"/>
      <c r="S291" s="217"/>
      <c r="T291" s="217"/>
      <c r="U291" s="212"/>
      <c r="V291" s="212"/>
      <c r="W291" s="212"/>
      <c r="X291" s="212"/>
      <c r="Y291" s="212"/>
      <c r="Z291" s="212"/>
      <c r="AA291" s="219"/>
      <c r="AB291" s="216"/>
      <c r="AC291" s="216"/>
      <c r="AD291" s="216"/>
      <c r="AE291" s="216"/>
      <c r="AF291" s="212"/>
      <c r="AG291" s="212"/>
      <c r="AH291" s="212"/>
      <c r="AI291" s="216"/>
      <c r="AJ291" s="216"/>
      <c r="AK291" s="216"/>
      <c r="AL291" s="216"/>
      <c r="AM291" s="216"/>
      <c r="AN291" s="216"/>
      <c r="AO291" s="216"/>
      <c r="AP291" s="217"/>
      <c r="AQ291" s="212"/>
      <c r="AR291" s="212"/>
      <c r="AS291" s="212"/>
      <c r="AT291" s="212"/>
      <c r="AU291" s="212"/>
      <c r="AV291" s="212"/>
      <c r="AW291" s="212"/>
      <c r="AX291" s="212"/>
      <c r="AY291" s="212"/>
      <c r="AZ291" s="212"/>
      <c r="BA291" s="212"/>
      <c r="BB291" s="212"/>
      <c r="BC291" s="212"/>
      <c r="BD291" s="212"/>
      <c r="BE291" s="212"/>
      <c r="BF291" s="216"/>
      <c r="BG291" s="212"/>
    </row>
    <row r="292" spans="1:59" ht="15.75" customHeight="1" x14ac:dyDescent="0.25">
      <c r="A292" s="212"/>
      <c r="B292" s="212"/>
      <c r="C292" s="212"/>
      <c r="D292" s="212"/>
      <c r="E292" s="216"/>
      <c r="F292" s="216"/>
      <c r="G292" s="269"/>
      <c r="H292" s="216"/>
      <c r="I292" s="218"/>
      <c r="J292" s="212"/>
      <c r="K292" s="212"/>
      <c r="L292" s="212"/>
      <c r="M292" s="212"/>
      <c r="N292" s="212"/>
      <c r="O292" s="217"/>
      <c r="P292" s="217"/>
      <c r="Q292" s="212"/>
      <c r="R292" s="212"/>
      <c r="S292" s="217"/>
      <c r="T292" s="217"/>
      <c r="U292" s="212"/>
      <c r="V292" s="212"/>
      <c r="W292" s="212"/>
      <c r="X292" s="212"/>
      <c r="Y292" s="212"/>
      <c r="Z292" s="212"/>
      <c r="AA292" s="219"/>
      <c r="AB292" s="216"/>
      <c r="AC292" s="216"/>
      <c r="AD292" s="216"/>
      <c r="AE292" s="216"/>
      <c r="AF292" s="212"/>
      <c r="AG292" s="212"/>
      <c r="AH292" s="212"/>
      <c r="AI292" s="216"/>
      <c r="AJ292" s="216"/>
      <c r="AK292" s="216"/>
      <c r="AL292" s="216"/>
      <c r="AM292" s="216"/>
      <c r="AN292" s="216"/>
      <c r="AO292" s="216"/>
      <c r="AP292" s="217"/>
      <c r="AQ292" s="212"/>
      <c r="AR292" s="212"/>
      <c r="AS292" s="212"/>
      <c r="AT292" s="212"/>
      <c r="AU292" s="212"/>
      <c r="AV292" s="212"/>
      <c r="AW292" s="212"/>
      <c r="AX292" s="212"/>
      <c r="AY292" s="212"/>
      <c r="AZ292" s="212"/>
      <c r="BA292" s="212"/>
      <c r="BB292" s="212"/>
      <c r="BC292" s="212"/>
      <c r="BD292" s="212"/>
      <c r="BE292" s="212"/>
      <c r="BF292" s="216"/>
      <c r="BG292" s="212"/>
    </row>
    <row r="293" spans="1:59" ht="15.75" customHeight="1" x14ac:dyDescent="0.25">
      <c r="A293" s="212"/>
      <c r="B293" s="212"/>
      <c r="C293" s="212"/>
      <c r="D293" s="212"/>
      <c r="E293" s="216"/>
      <c r="F293" s="216"/>
      <c r="G293" s="269"/>
      <c r="H293" s="216"/>
      <c r="I293" s="218"/>
      <c r="J293" s="212"/>
      <c r="K293" s="212"/>
      <c r="L293" s="212"/>
      <c r="M293" s="212"/>
      <c r="N293" s="212"/>
      <c r="O293" s="217"/>
      <c r="P293" s="217"/>
      <c r="Q293" s="212"/>
      <c r="R293" s="212"/>
      <c r="S293" s="217"/>
      <c r="T293" s="217"/>
      <c r="U293" s="212"/>
      <c r="V293" s="212"/>
      <c r="W293" s="212"/>
      <c r="X293" s="212"/>
      <c r="Y293" s="212"/>
      <c r="Z293" s="212"/>
      <c r="AA293" s="219"/>
      <c r="AB293" s="216"/>
      <c r="AC293" s="216"/>
      <c r="AD293" s="216"/>
      <c r="AE293" s="216"/>
      <c r="AF293" s="212"/>
      <c r="AG293" s="212"/>
      <c r="AH293" s="212"/>
      <c r="AI293" s="216"/>
      <c r="AJ293" s="216"/>
      <c r="AK293" s="216"/>
      <c r="AL293" s="216"/>
      <c r="AM293" s="216"/>
      <c r="AN293" s="216"/>
      <c r="AO293" s="216"/>
      <c r="AP293" s="217"/>
      <c r="AQ293" s="212"/>
      <c r="AR293" s="212"/>
      <c r="AS293" s="212"/>
      <c r="AT293" s="212"/>
      <c r="AU293" s="212"/>
      <c r="AV293" s="212"/>
      <c r="AW293" s="212"/>
      <c r="AX293" s="212"/>
      <c r="AY293" s="212"/>
      <c r="AZ293" s="212"/>
      <c r="BA293" s="212"/>
      <c r="BB293" s="212"/>
      <c r="BC293" s="212"/>
      <c r="BD293" s="212"/>
      <c r="BE293" s="212"/>
      <c r="BF293" s="216"/>
      <c r="BG293" s="212"/>
    </row>
    <row r="294" spans="1:59" ht="15.75" customHeight="1" x14ac:dyDescent="0.25">
      <c r="A294" s="212"/>
      <c r="B294" s="212"/>
      <c r="C294" s="212"/>
      <c r="D294" s="212"/>
      <c r="E294" s="216"/>
      <c r="F294" s="216"/>
      <c r="G294" s="269"/>
      <c r="H294" s="216"/>
      <c r="I294" s="218"/>
      <c r="J294" s="212"/>
      <c r="K294" s="212"/>
      <c r="L294" s="212"/>
      <c r="M294" s="212"/>
      <c r="N294" s="212"/>
      <c r="O294" s="217"/>
      <c r="P294" s="217"/>
      <c r="Q294" s="212"/>
      <c r="R294" s="212"/>
      <c r="S294" s="217"/>
      <c r="T294" s="217"/>
      <c r="U294" s="212"/>
      <c r="V294" s="212"/>
      <c r="W294" s="212"/>
      <c r="X294" s="212"/>
      <c r="Y294" s="212"/>
      <c r="Z294" s="212"/>
      <c r="AA294" s="219"/>
      <c r="AB294" s="216"/>
      <c r="AC294" s="216"/>
      <c r="AD294" s="216"/>
      <c r="AE294" s="216"/>
      <c r="AF294" s="212"/>
      <c r="AG294" s="212"/>
      <c r="AH294" s="212"/>
      <c r="AI294" s="216"/>
      <c r="AJ294" s="216"/>
      <c r="AK294" s="216"/>
      <c r="AL294" s="216"/>
      <c r="AM294" s="216"/>
      <c r="AN294" s="216"/>
      <c r="AO294" s="216"/>
      <c r="AP294" s="217"/>
      <c r="AQ294" s="212"/>
      <c r="AR294" s="212"/>
      <c r="AS294" s="212"/>
      <c r="AT294" s="212"/>
      <c r="AU294" s="212"/>
      <c r="AV294" s="212"/>
      <c r="AW294" s="212"/>
      <c r="AX294" s="212"/>
      <c r="AY294" s="212"/>
      <c r="AZ294" s="212"/>
      <c r="BA294" s="212"/>
      <c r="BB294" s="212"/>
      <c r="BC294" s="212"/>
      <c r="BD294" s="212"/>
      <c r="BE294" s="212"/>
      <c r="BF294" s="216"/>
      <c r="BG294" s="212"/>
    </row>
    <row r="295" spans="1:59" ht="15.75" customHeight="1" x14ac:dyDescent="0.25">
      <c r="A295" s="212"/>
      <c r="B295" s="212"/>
      <c r="C295" s="212"/>
      <c r="D295" s="212"/>
      <c r="E295" s="216"/>
      <c r="F295" s="216"/>
      <c r="G295" s="269"/>
      <c r="H295" s="216"/>
      <c r="I295" s="218"/>
      <c r="J295" s="212"/>
      <c r="K295" s="212"/>
      <c r="L295" s="212"/>
      <c r="M295" s="212"/>
      <c r="N295" s="212"/>
      <c r="O295" s="217"/>
      <c r="P295" s="217"/>
      <c r="Q295" s="212"/>
      <c r="R295" s="212"/>
      <c r="S295" s="217"/>
      <c r="T295" s="217"/>
      <c r="U295" s="212"/>
      <c r="V295" s="212"/>
      <c r="W295" s="212"/>
      <c r="X295" s="212"/>
      <c r="Y295" s="212"/>
      <c r="Z295" s="212"/>
      <c r="AA295" s="219"/>
      <c r="AB295" s="216"/>
      <c r="AC295" s="216"/>
      <c r="AD295" s="216"/>
      <c r="AE295" s="216"/>
      <c r="AF295" s="212"/>
      <c r="AG295" s="212"/>
      <c r="AH295" s="212"/>
      <c r="AI295" s="216"/>
      <c r="AJ295" s="216"/>
      <c r="AK295" s="216"/>
      <c r="AL295" s="216"/>
      <c r="AM295" s="216"/>
      <c r="AN295" s="216"/>
      <c r="AO295" s="216"/>
      <c r="AP295" s="217"/>
      <c r="AQ295" s="212"/>
      <c r="AR295" s="212"/>
      <c r="AS295" s="212"/>
      <c r="AT295" s="212"/>
      <c r="AU295" s="212"/>
      <c r="AV295" s="212"/>
      <c r="AW295" s="212"/>
      <c r="AX295" s="212"/>
      <c r="AY295" s="212"/>
      <c r="AZ295" s="212"/>
      <c r="BA295" s="212"/>
      <c r="BB295" s="212"/>
      <c r="BC295" s="212"/>
      <c r="BD295" s="212"/>
      <c r="BE295" s="212"/>
      <c r="BF295" s="216"/>
      <c r="BG295" s="212"/>
    </row>
    <row r="296" spans="1:59" ht="15.75" customHeight="1" x14ac:dyDescent="0.25">
      <c r="A296" s="212"/>
      <c r="B296" s="212"/>
      <c r="C296" s="212"/>
      <c r="D296" s="212"/>
      <c r="E296" s="216"/>
      <c r="F296" s="216"/>
      <c r="G296" s="269"/>
      <c r="H296" s="216"/>
      <c r="I296" s="218"/>
      <c r="J296" s="212"/>
      <c r="K296" s="212"/>
      <c r="L296" s="212"/>
      <c r="M296" s="212"/>
      <c r="N296" s="212"/>
      <c r="O296" s="217"/>
      <c r="P296" s="217"/>
      <c r="Q296" s="212"/>
      <c r="R296" s="212"/>
      <c r="S296" s="217"/>
      <c r="T296" s="217"/>
      <c r="U296" s="212"/>
      <c r="V296" s="212"/>
      <c r="W296" s="212"/>
      <c r="X296" s="212"/>
      <c r="Y296" s="212"/>
      <c r="Z296" s="212"/>
      <c r="AA296" s="219"/>
      <c r="AB296" s="216"/>
      <c r="AC296" s="216"/>
      <c r="AD296" s="216"/>
      <c r="AE296" s="216"/>
      <c r="AF296" s="212"/>
      <c r="AG296" s="212"/>
      <c r="AH296" s="212"/>
      <c r="AI296" s="216"/>
      <c r="AJ296" s="216"/>
      <c r="AK296" s="216"/>
      <c r="AL296" s="216"/>
      <c r="AM296" s="216"/>
      <c r="AN296" s="216"/>
      <c r="AO296" s="216"/>
      <c r="AP296" s="217"/>
      <c r="AQ296" s="212"/>
      <c r="AR296" s="212"/>
      <c r="AS296" s="212"/>
      <c r="AT296" s="212"/>
      <c r="AU296" s="212"/>
      <c r="AV296" s="212"/>
      <c r="AW296" s="212"/>
      <c r="AX296" s="212"/>
      <c r="AY296" s="212"/>
      <c r="AZ296" s="212"/>
      <c r="BA296" s="212"/>
      <c r="BB296" s="212"/>
      <c r="BC296" s="212"/>
      <c r="BD296" s="212"/>
      <c r="BE296" s="212"/>
      <c r="BF296" s="216"/>
      <c r="BG296" s="212"/>
    </row>
    <row r="297" spans="1:59" ht="15.75" customHeight="1" x14ac:dyDescent="0.25">
      <c r="A297" s="212"/>
      <c r="B297" s="212"/>
      <c r="C297" s="212"/>
      <c r="D297" s="212"/>
      <c r="E297" s="216"/>
      <c r="F297" s="216"/>
      <c r="G297" s="269"/>
      <c r="H297" s="216"/>
      <c r="I297" s="218"/>
      <c r="J297" s="212"/>
      <c r="K297" s="212"/>
      <c r="L297" s="212"/>
      <c r="M297" s="212"/>
      <c r="N297" s="212"/>
      <c r="O297" s="217"/>
      <c r="P297" s="217"/>
      <c r="Q297" s="212"/>
      <c r="R297" s="212"/>
      <c r="S297" s="217"/>
      <c r="T297" s="217"/>
      <c r="U297" s="212"/>
      <c r="V297" s="212"/>
      <c r="W297" s="212"/>
      <c r="X297" s="212"/>
      <c r="Y297" s="212"/>
      <c r="Z297" s="212"/>
      <c r="AA297" s="219"/>
      <c r="AB297" s="216"/>
      <c r="AC297" s="216"/>
      <c r="AD297" s="216"/>
      <c r="AE297" s="216"/>
      <c r="AF297" s="212"/>
      <c r="AG297" s="212"/>
      <c r="AH297" s="212"/>
      <c r="AI297" s="216"/>
      <c r="AJ297" s="216"/>
      <c r="AK297" s="216"/>
      <c r="AL297" s="216"/>
      <c r="AM297" s="216"/>
      <c r="AN297" s="216"/>
      <c r="AO297" s="216"/>
      <c r="AP297" s="217"/>
      <c r="AQ297" s="212"/>
      <c r="AR297" s="212"/>
      <c r="AS297" s="212"/>
      <c r="AT297" s="212"/>
      <c r="AU297" s="212"/>
      <c r="AV297" s="212"/>
      <c r="AW297" s="212"/>
      <c r="AX297" s="212"/>
      <c r="AY297" s="212"/>
      <c r="AZ297" s="212"/>
      <c r="BA297" s="212"/>
      <c r="BB297" s="212"/>
      <c r="BC297" s="212"/>
      <c r="BD297" s="212"/>
      <c r="BE297" s="212"/>
      <c r="BF297" s="216"/>
      <c r="BG297" s="212"/>
    </row>
    <row r="298" spans="1:59" ht="15.75" customHeight="1" x14ac:dyDescent="0.25">
      <c r="A298" s="212"/>
      <c r="B298" s="212"/>
      <c r="C298" s="212"/>
      <c r="D298" s="212"/>
      <c r="E298" s="216"/>
      <c r="F298" s="216"/>
      <c r="G298" s="269"/>
      <c r="H298" s="216"/>
      <c r="I298" s="218"/>
      <c r="J298" s="212"/>
      <c r="K298" s="212"/>
      <c r="L298" s="212"/>
      <c r="M298" s="212"/>
      <c r="N298" s="212"/>
      <c r="O298" s="217"/>
      <c r="P298" s="217"/>
      <c r="Q298" s="212"/>
      <c r="R298" s="212"/>
      <c r="S298" s="217"/>
      <c r="T298" s="217"/>
      <c r="U298" s="212"/>
      <c r="V298" s="212"/>
      <c r="W298" s="212"/>
      <c r="X298" s="212"/>
      <c r="Y298" s="212"/>
      <c r="Z298" s="212"/>
      <c r="AA298" s="219"/>
      <c r="AB298" s="216"/>
      <c r="AC298" s="216"/>
      <c r="AD298" s="216"/>
      <c r="AE298" s="216"/>
      <c r="AF298" s="212"/>
      <c r="AG298" s="212"/>
      <c r="AH298" s="212"/>
      <c r="AI298" s="216"/>
      <c r="AJ298" s="216"/>
      <c r="AK298" s="216"/>
      <c r="AL298" s="216"/>
      <c r="AM298" s="216"/>
      <c r="AN298" s="216"/>
      <c r="AO298" s="216"/>
      <c r="AP298" s="217"/>
      <c r="AQ298" s="212"/>
      <c r="AR298" s="212"/>
      <c r="AS298" s="212"/>
      <c r="AT298" s="212"/>
      <c r="AU298" s="212"/>
      <c r="AV298" s="212"/>
      <c r="AW298" s="212"/>
      <c r="AX298" s="212"/>
      <c r="AY298" s="212"/>
      <c r="AZ298" s="212"/>
      <c r="BA298" s="212"/>
      <c r="BB298" s="212"/>
      <c r="BC298" s="212"/>
      <c r="BD298" s="212"/>
      <c r="BE298" s="212"/>
      <c r="BF298" s="216"/>
      <c r="BG298" s="212"/>
    </row>
    <row r="299" spans="1:59" ht="15.75" customHeight="1" x14ac:dyDescent="0.25">
      <c r="A299" s="212"/>
      <c r="B299" s="212"/>
      <c r="C299" s="212"/>
      <c r="D299" s="212"/>
      <c r="E299" s="216"/>
      <c r="F299" s="216"/>
      <c r="G299" s="269"/>
      <c r="H299" s="216"/>
      <c r="I299" s="218"/>
      <c r="J299" s="212"/>
      <c r="K299" s="212"/>
      <c r="L299" s="212"/>
      <c r="M299" s="212"/>
      <c r="N299" s="212"/>
      <c r="O299" s="217"/>
      <c r="P299" s="217"/>
      <c r="Q299" s="212"/>
      <c r="R299" s="212"/>
      <c r="S299" s="217"/>
      <c r="T299" s="217"/>
      <c r="U299" s="212"/>
      <c r="V299" s="212"/>
      <c r="W299" s="212"/>
      <c r="X299" s="212"/>
      <c r="Y299" s="212"/>
      <c r="Z299" s="212"/>
      <c r="AA299" s="219"/>
      <c r="AB299" s="216"/>
      <c r="AC299" s="216"/>
      <c r="AD299" s="216"/>
      <c r="AE299" s="216"/>
      <c r="AF299" s="212"/>
      <c r="AG299" s="212"/>
      <c r="AH299" s="212"/>
      <c r="AI299" s="216"/>
      <c r="AJ299" s="216"/>
      <c r="AK299" s="216"/>
      <c r="AL299" s="216"/>
      <c r="AM299" s="216"/>
      <c r="AN299" s="216"/>
      <c r="AO299" s="216"/>
      <c r="AP299" s="217"/>
      <c r="AQ299" s="212"/>
      <c r="AR299" s="212"/>
      <c r="AS299" s="212"/>
      <c r="AT299" s="212"/>
      <c r="AU299" s="212"/>
      <c r="AV299" s="212"/>
      <c r="AW299" s="212"/>
      <c r="AX299" s="212"/>
      <c r="AY299" s="212"/>
      <c r="AZ299" s="212"/>
      <c r="BA299" s="212"/>
      <c r="BB299" s="212"/>
      <c r="BC299" s="212"/>
      <c r="BD299" s="212"/>
      <c r="BE299" s="212"/>
      <c r="BF299" s="216"/>
      <c r="BG299" s="212"/>
    </row>
    <row r="300" spans="1:59" ht="15.75" customHeight="1" x14ac:dyDescent="0.25">
      <c r="A300" s="212"/>
      <c r="B300" s="212"/>
      <c r="C300" s="212"/>
      <c r="D300" s="212"/>
      <c r="E300" s="216"/>
      <c r="F300" s="216"/>
      <c r="G300" s="269"/>
      <c r="H300" s="216"/>
      <c r="I300" s="218"/>
      <c r="J300" s="212"/>
      <c r="K300" s="212"/>
      <c r="L300" s="212"/>
      <c r="M300" s="212"/>
      <c r="N300" s="212"/>
      <c r="O300" s="217"/>
      <c r="P300" s="217"/>
      <c r="Q300" s="212"/>
      <c r="R300" s="212"/>
      <c r="S300" s="217"/>
      <c r="T300" s="217"/>
      <c r="U300" s="212"/>
      <c r="V300" s="212"/>
      <c r="W300" s="212"/>
      <c r="X300" s="212"/>
      <c r="Y300" s="212"/>
      <c r="Z300" s="212"/>
      <c r="AA300" s="219"/>
      <c r="AB300" s="216"/>
      <c r="AC300" s="216"/>
      <c r="AD300" s="216"/>
      <c r="AE300" s="216"/>
      <c r="AF300" s="212"/>
      <c r="AG300" s="212"/>
      <c r="AH300" s="212"/>
      <c r="AI300" s="216"/>
      <c r="AJ300" s="216"/>
      <c r="AK300" s="216"/>
      <c r="AL300" s="216"/>
      <c r="AM300" s="216"/>
      <c r="AN300" s="216"/>
      <c r="AO300" s="216"/>
      <c r="AP300" s="217"/>
      <c r="AQ300" s="212"/>
      <c r="AR300" s="212"/>
      <c r="AS300" s="212"/>
      <c r="AT300" s="212"/>
      <c r="AU300" s="212"/>
      <c r="AV300" s="212"/>
      <c r="AW300" s="212"/>
      <c r="AX300" s="212"/>
      <c r="AY300" s="212"/>
      <c r="AZ300" s="212"/>
      <c r="BA300" s="212"/>
      <c r="BB300" s="212"/>
      <c r="BC300" s="212"/>
      <c r="BD300" s="212"/>
      <c r="BE300" s="212"/>
      <c r="BF300" s="216"/>
      <c r="BG300" s="212"/>
    </row>
    <row r="301" spans="1:59" ht="15.75" customHeight="1" x14ac:dyDescent="0.25">
      <c r="A301" s="212"/>
      <c r="B301" s="212"/>
      <c r="C301" s="212"/>
      <c r="D301" s="212"/>
      <c r="E301" s="216"/>
      <c r="F301" s="216"/>
      <c r="G301" s="269"/>
      <c r="H301" s="216"/>
      <c r="I301" s="218"/>
      <c r="J301" s="212"/>
      <c r="K301" s="212"/>
      <c r="L301" s="212"/>
      <c r="M301" s="212"/>
      <c r="N301" s="212"/>
      <c r="O301" s="217"/>
      <c r="P301" s="217"/>
      <c r="Q301" s="212"/>
      <c r="R301" s="212"/>
      <c r="S301" s="217"/>
      <c r="T301" s="217"/>
      <c r="U301" s="212"/>
      <c r="V301" s="212"/>
      <c r="W301" s="212"/>
      <c r="X301" s="212"/>
      <c r="Y301" s="212"/>
      <c r="Z301" s="212"/>
      <c r="AA301" s="219"/>
      <c r="AB301" s="216"/>
      <c r="AC301" s="216"/>
      <c r="AD301" s="216"/>
      <c r="AE301" s="216"/>
      <c r="AF301" s="212"/>
      <c r="AG301" s="212"/>
      <c r="AH301" s="212"/>
      <c r="AI301" s="216"/>
      <c r="AJ301" s="216"/>
      <c r="AK301" s="216"/>
      <c r="AL301" s="216"/>
      <c r="AM301" s="216"/>
      <c r="AN301" s="216"/>
      <c r="AO301" s="216"/>
      <c r="AP301" s="217"/>
      <c r="AQ301" s="212"/>
      <c r="AR301" s="212"/>
      <c r="AS301" s="212"/>
      <c r="AT301" s="212"/>
      <c r="AU301" s="212"/>
      <c r="AV301" s="212"/>
      <c r="AW301" s="212"/>
      <c r="AX301" s="212"/>
      <c r="AY301" s="212"/>
      <c r="AZ301" s="212"/>
      <c r="BA301" s="212"/>
      <c r="BB301" s="212"/>
      <c r="BC301" s="212"/>
      <c r="BD301" s="212"/>
      <c r="BE301" s="212"/>
      <c r="BF301" s="216"/>
      <c r="BG301" s="212"/>
    </row>
    <row r="302" spans="1:59" ht="15.75" customHeight="1" x14ac:dyDescent="0.25">
      <c r="A302" s="212"/>
      <c r="B302" s="212"/>
      <c r="C302" s="212"/>
      <c r="D302" s="212"/>
      <c r="E302" s="216"/>
      <c r="F302" s="216"/>
      <c r="G302" s="269"/>
      <c r="H302" s="216"/>
      <c r="I302" s="218"/>
      <c r="J302" s="212"/>
      <c r="K302" s="212"/>
      <c r="L302" s="212"/>
      <c r="M302" s="212"/>
      <c r="N302" s="212"/>
      <c r="O302" s="217"/>
      <c r="P302" s="217"/>
      <c r="Q302" s="212"/>
      <c r="R302" s="212"/>
      <c r="S302" s="217"/>
      <c r="T302" s="217"/>
      <c r="U302" s="212"/>
      <c r="V302" s="212"/>
      <c r="W302" s="212"/>
      <c r="X302" s="212"/>
      <c r="Y302" s="212"/>
      <c r="Z302" s="212"/>
      <c r="AA302" s="219"/>
      <c r="AB302" s="216"/>
      <c r="AC302" s="216"/>
      <c r="AD302" s="216"/>
      <c r="AE302" s="216"/>
      <c r="AF302" s="212"/>
      <c r="AG302" s="212"/>
      <c r="AH302" s="212"/>
      <c r="AI302" s="216"/>
      <c r="AJ302" s="216"/>
      <c r="AK302" s="216"/>
      <c r="AL302" s="216"/>
      <c r="AM302" s="216"/>
      <c r="AN302" s="216"/>
      <c r="AO302" s="216"/>
      <c r="AP302" s="217"/>
      <c r="AQ302" s="212"/>
      <c r="AR302" s="212"/>
      <c r="AS302" s="212"/>
      <c r="AT302" s="212"/>
      <c r="AU302" s="212"/>
      <c r="AV302" s="212"/>
      <c r="AW302" s="212"/>
      <c r="AX302" s="212"/>
      <c r="AY302" s="212"/>
      <c r="AZ302" s="212"/>
      <c r="BA302" s="212"/>
      <c r="BB302" s="212"/>
      <c r="BC302" s="212"/>
      <c r="BD302" s="212"/>
      <c r="BE302" s="212"/>
      <c r="BF302" s="216"/>
      <c r="BG302" s="212"/>
    </row>
    <row r="303" spans="1:59" ht="15.75" customHeight="1" x14ac:dyDescent="0.25">
      <c r="A303" s="212"/>
      <c r="B303" s="212"/>
      <c r="C303" s="212"/>
      <c r="D303" s="212"/>
      <c r="E303" s="216"/>
      <c r="F303" s="216"/>
      <c r="G303" s="269"/>
      <c r="H303" s="216"/>
      <c r="I303" s="218"/>
      <c r="J303" s="212"/>
      <c r="K303" s="212"/>
      <c r="L303" s="212"/>
      <c r="M303" s="212"/>
      <c r="N303" s="212"/>
      <c r="O303" s="217"/>
      <c r="P303" s="217"/>
      <c r="Q303" s="212"/>
      <c r="R303" s="212"/>
      <c r="S303" s="217"/>
      <c r="T303" s="217"/>
      <c r="U303" s="212"/>
      <c r="V303" s="212"/>
      <c r="W303" s="212"/>
      <c r="X303" s="212"/>
      <c r="Y303" s="212"/>
      <c r="Z303" s="212"/>
      <c r="AA303" s="219"/>
      <c r="AB303" s="216"/>
      <c r="AC303" s="216"/>
      <c r="AD303" s="216"/>
      <c r="AE303" s="216"/>
      <c r="AF303" s="212"/>
      <c r="AG303" s="212"/>
      <c r="AH303" s="212"/>
      <c r="AI303" s="216"/>
      <c r="AJ303" s="216"/>
      <c r="AK303" s="216"/>
      <c r="AL303" s="216"/>
      <c r="AM303" s="216"/>
      <c r="AN303" s="216"/>
      <c r="AO303" s="216"/>
      <c r="AP303" s="217"/>
      <c r="AQ303" s="212"/>
      <c r="AR303" s="212"/>
      <c r="AS303" s="212"/>
      <c r="AT303" s="212"/>
      <c r="AU303" s="212"/>
      <c r="AV303" s="212"/>
      <c r="AW303" s="212"/>
      <c r="AX303" s="212"/>
      <c r="AY303" s="212"/>
      <c r="AZ303" s="212"/>
      <c r="BA303" s="212"/>
      <c r="BB303" s="212"/>
      <c r="BC303" s="212"/>
      <c r="BD303" s="212"/>
      <c r="BE303" s="212"/>
      <c r="BF303" s="216"/>
      <c r="BG303" s="212"/>
    </row>
    <row r="304" spans="1:59" ht="15.75" customHeight="1" x14ac:dyDescent="0.25">
      <c r="A304" s="212"/>
      <c r="B304" s="212"/>
      <c r="C304" s="212"/>
      <c r="D304" s="212"/>
      <c r="E304" s="216"/>
      <c r="F304" s="216"/>
      <c r="G304" s="269"/>
      <c r="H304" s="216"/>
      <c r="I304" s="218"/>
      <c r="J304" s="212"/>
      <c r="K304" s="212"/>
      <c r="L304" s="212"/>
      <c r="M304" s="212"/>
      <c r="N304" s="212"/>
      <c r="O304" s="217"/>
      <c r="P304" s="217"/>
      <c r="Q304" s="212"/>
      <c r="R304" s="212"/>
      <c r="S304" s="217"/>
      <c r="T304" s="217"/>
      <c r="U304" s="212"/>
      <c r="V304" s="212"/>
      <c r="W304" s="212"/>
      <c r="X304" s="212"/>
      <c r="Y304" s="212"/>
      <c r="Z304" s="212"/>
      <c r="AA304" s="219"/>
      <c r="AB304" s="216"/>
      <c r="AC304" s="216"/>
      <c r="AD304" s="216"/>
      <c r="AE304" s="216"/>
      <c r="AF304" s="212"/>
      <c r="AG304" s="212"/>
      <c r="AH304" s="212"/>
      <c r="AI304" s="216"/>
      <c r="AJ304" s="216"/>
      <c r="AK304" s="216"/>
      <c r="AL304" s="216"/>
      <c r="AM304" s="216"/>
      <c r="AN304" s="216"/>
      <c r="AO304" s="216"/>
      <c r="AP304" s="217"/>
      <c r="AQ304" s="212"/>
      <c r="AR304" s="212"/>
      <c r="AS304" s="212"/>
      <c r="AT304" s="212"/>
      <c r="AU304" s="212"/>
      <c r="AV304" s="212"/>
      <c r="AW304" s="212"/>
      <c r="AX304" s="212"/>
      <c r="AY304" s="212"/>
      <c r="AZ304" s="212"/>
      <c r="BA304" s="212"/>
      <c r="BB304" s="212"/>
      <c r="BC304" s="212"/>
      <c r="BD304" s="212"/>
      <c r="BE304" s="212"/>
      <c r="BF304" s="216"/>
      <c r="BG304" s="212"/>
    </row>
    <row r="305" spans="1:59" ht="15.75" customHeight="1" x14ac:dyDescent="0.25">
      <c r="A305" s="212"/>
      <c r="B305" s="212"/>
      <c r="C305" s="212"/>
      <c r="D305" s="212"/>
      <c r="E305" s="216"/>
      <c r="F305" s="216"/>
      <c r="G305" s="269"/>
      <c r="H305" s="216"/>
      <c r="I305" s="218"/>
      <c r="J305" s="212"/>
      <c r="K305" s="212"/>
      <c r="L305" s="212"/>
      <c r="M305" s="212"/>
      <c r="N305" s="212"/>
      <c r="O305" s="217"/>
      <c r="P305" s="217"/>
      <c r="Q305" s="212"/>
      <c r="R305" s="212"/>
      <c r="S305" s="217"/>
      <c r="T305" s="217"/>
      <c r="U305" s="212"/>
      <c r="V305" s="212"/>
      <c r="W305" s="212"/>
      <c r="X305" s="212"/>
      <c r="Y305" s="212"/>
      <c r="Z305" s="212"/>
      <c r="AA305" s="219"/>
      <c r="AB305" s="216"/>
      <c r="AC305" s="216"/>
      <c r="AD305" s="216"/>
      <c r="AE305" s="216"/>
      <c r="AF305" s="212"/>
      <c r="AG305" s="212"/>
      <c r="AH305" s="212"/>
      <c r="AI305" s="216"/>
      <c r="AJ305" s="216"/>
      <c r="AK305" s="216"/>
      <c r="AL305" s="216"/>
      <c r="AM305" s="216"/>
      <c r="AN305" s="216"/>
      <c r="AO305" s="216"/>
      <c r="AP305" s="217"/>
      <c r="AQ305" s="212"/>
      <c r="AR305" s="212"/>
      <c r="AS305" s="212"/>
      <c r="AT305" s="212"/>
      <c r="AU305" s="212"/>
      <c r="AV305" s="212"/>
      <c r="AW305" s="212"/>
      <c r="AX305" s="212"/>
      <c r="AY305" s="212"/>
      <c r="AZ305" s="212"/>
      <c r="BA305" s="212"/>
      <c r="BB305" s="212"/>
      <c r="BC305" s="212"/>
      <c r="BD305" s="212"/>
      <c r="BE305" s="212"/>
      <c r="BF305" s="216"/>
      <c r="BG305" s="212"/>
    </row>
    <row r="306" spans="1:59" ht="15.75" customHeight="1" x14ac:dyDescent="0.25">
      <c r="A306" s="212"/>
      <c r="B306" s="212"/>
      <c r="C306" s="212"/>
      <c r="D306" s="212"/>
      <c r="E306" s="216"/>
      <c r="F306" s="216"/>
      <c r="G306" s="269"/>
      <c r="H306" s="216"/>
      <c r="I306" s="218"/>
      <c r="J306" s="212"/>
      <c r="K306" s="212"/>
      <c r="L306" s="212"/>
      <c r="M306" s="212"/>
      <c r="N306" s="212"/>
      <c r="O306" s="217"/>
      <c r="P306" s="217"/>
      <c r="Q306" s="212"/>
      <c r="R306" s="212"/>
      <c r="S306" s="217"/>
      <c r="T306" s="217"/>
      <c r="U306" s="212"/>
      <c r="V306" s="212"/>
      <c r="W306" s="212"/>
      <c r="X306" s="212"/>
      <c r="Y306" s="212"/>
      <c r="Z306" s="212"/>
      <c r="AA306" s="219"/>
      <c r="AB306" s="216"/>
      <c r="AC306" s="216"/>
      <c r="AD306" s="216"/>
      <c r="AE306" s="216"/>
      <c r="AF306" s="212"/>
      <c r="AG306" s="212"/>
      <c r="AH306" s="212"/>
      <c r="AI306" s="216"/>
      <c r="AJ306" s="216"/>
      <c r="AK306" s="216"/>
      <c r="AL306" s="216"/>
      <c r="AM306" s="216"/>
      <c r="AN306" s="216"/>
      <c r="AO306" s="216"/>
      <c r="AP306" s="217"/>
      <c r="AQ306" s="212"/>
      <c r="AR306" s="212"/>
      <c r="AS306" s="212"/>
      <c r="AT306" s="212"/>
      <c r="AU306" s="212"/>
      <c r="AV306" s="212"/>
      <c r="AW306" s="212"/>
      <c r="AX306" s="212"/>
      <c r="AY306" s="212"/>
      <c r="AZ306" s="212"/>
      <c r="BA306" s="212"/>
      <c r="BB306" s="212"/>
      <c r="BC306" s="212"/>
      <c r="BD306" s="212"/>
      <c r="BE306" s="212"/>
      <c r="BF306" s="216"/>
      <c r="BG306" s="212"/>
    </row>
    <row r="307" spans="1:59" ht="15.75" customHeight="1" x14ac:dyDescent="0.25">
      <c r="A307" s="212"/>
      <c r="B307" s="212"/>
      <c r="C307" s="212"/>
      <c r="D307" s="212"/>
      <c r="E307" s="216"/>
      <c r="F307" s="216"/>
      <c r="G307" s="269"/>
      <c r="H307" s="216"/>
      <c r="I307" s="218"/>
      <c r="J307" s="212"/>
      <c r="K307" s="212"/>
      <c r="L307" s="212"/>
      <c r="M307" s="212"/>
      <c r="N307" s="212"/>
      <c r="O307" s="217"/>
      <c r="P307" s="217"/>
      <c r="Q307" s="212"/>
      <c r="R307" s="212"/>
      <c r="S307" s="217"/>
      <c r="T307" s="217"/>
      <c r="U307" s="212"/>
      <c r="V307" s="212"/>
      <c r="W307" s="212"/>
      <c r="X307" s="212"/>
      <c r="Y307" s="212"/>
      <c r="Z307" s="212"/>
      <c r="AA307" s="219"/>
      <c r="AB307" s="216"/>
      <c r="AC307" s="216"/>
      <c r="AD307" s="216"/>
      <c r="AE307" s="216"/>
      <c r="AF307" s="212"/>
      <c r="AG307" s="212"/>
      <c r="AH307" s="212"/>
      <c r="AI307" s="216"/>
      <c r="AJ307" s="216"/>
      <c r="AK307" s="216"/>
      <c r="AL307" s="216"/>
      <c r="AM307" s="216"/>
      <c r="AN307" s="216"/>
      <c r="AO307" s="216"/>
      <c r="AP307" s="217"/>
      <c r="AQ307" s="212"/>
      <c r="AR307" s="212"/>
      <c r="AS307" s="212"/>
      <c r="AT307" s="212"/>
      <c r="AU307" s="212"/>
      <c r="AV307" s="212"/>
      <c r="AW307" s="212"/>
      <c r="AX307" s="212"/>
      <c r="AY307" s="212"/>
      <c r="AZ307" s="212"/>
      <c r="BA307" s="212"/>
      <c r="BB307" s="212"/>
      <c r="BC307" s="212"/>
      <c r="BD307" s="212"/>
      <c r="BE307" s="212"/>
      <c r="BF307" s="216"/>
      <c r="BG307" s="212"/>
    </row>
    <row r="308" spans="1:59" ht="15.75" customHeight="1" x14ac:dyDescent="0.25">
      <c r="A308" s="212"/>
      <c r="B308" s="212"/>
      <c r="C308" s="212"/>
      <c r="D308" s="212"/>
      <c r="E308" s="216"/>
      <c r="F308" s="216"/>
      <c r="G308" s="269"/>
      <c r="H308" s="216"/>
      <c r="I308" s="218"/>
      <c r="J308" s="212"/>
      <c r="K308" s="212"/>
      <c r="L308" s="212"/>
      <c r="M308" s="212"/>
      <c r="N308" s="212"/>
      <c r="O308" s="217"/>
      <c r="P308" s="217"/>
      <c r="Q308" s="212"/>
      <c r="R308" s="212"/>
      <c r="S308" s="217"/>
      <c r="T308" s="217"/>
      <c r="U308" s="212"/>
      <c r="V308" s="212"/>
      <c r="W308" s="212"/>
      <c r="X308" s="212"/>
      <c r="Y308" s="212"/>
      <c r="Z308" s="212"/>
      <c r="AA308" s="219"/>
      <c r="AB308" s="216"/>
      <c r="AC308" s="216"/>
      <c r="AD308" s="216"/>
      <c r="AE308" s="216"/>
      <c r="AF308" s="212"/>
      <c r="AG308" s="212"/>
      <c r="AH308" s="212"/>
      <c r="AI308" s="216"/>
      <c r="AJ308" s="216"/>
      <c r="AK308" s="216"/>
      <c r="AL308" s="216"/>
      <c r="AM308" s="216"/>
      <c r="AN308" s="216"/>
      <c r="AO308" s="216"/>
      <c r="AP308" s="217"/>
      <c r="AQ308" s="212"/>
      <c r="AR308" s="212"/>
      <c r="AS308" s="212"/>
      <c r="AT308" s="212"/>
      <c r="AU308" s="212"/>
      <c r="AV308" s="212"/>
      <c r="AW308" s="212"/>
      <c r="AX308" s="212"/>
      <c r="AY308" s="212"/>
      <c r="AZ308" s="212"/>
      <c r="BA308" s="212"/>
      <c r="BB308" s="212"/>
      <c r="BC308" s="212"/>
      <c r="BD308" s="212"/>
      <c r="BE308" s="212"/>
      <c r="BF308" s="216"/>
      <c r="BG308" s="212"/>
    </row>
    <row r="309" spans="1:59" ht="15.75" customHeight="1" x14ac:dyDescent="0.25">
      <c r="A309" s="212"/>
      <c r="B309" s="212"/>
      <c r="C309" s="212"/>
      <c r="D309" s="212"/>
      <c r="E309" s="216"/>
      <c r="F309" s="216"/>
      <c r="G309" s="269"/>
      <c r="H309" s="216"/>
      <c r="I309" s="218"/>
      <c r="J309" s="212"/>
      <c r="K309" s="212"/>
      <c r="L309" s="212"/>
      <c r="M309" s="212"/>
      <c r="N309" s="212"/>
      <c r="O309" s="217"/>
      <c r="P309" s="217"/>
      <c r="Q309" s="212"/>
      <c r="R309" s="212"/>
      <c r="S309" s="217"/>
      <c r="T309" s="217"/>
      <c r="U309" s="212"/>
      <c r="V309" s="212"/>
      <c r="W309" s="212"/>
      <c r="X309" s="212"/>
      <c r="Y309" s="212"/>
      <c r="Z309" s="212"/>
      <c r="AA309" s="219"/>
      <c r="AB309" s="216"/>
      <c r="AC309" s="216"/>
      <c r="AD309" s="216"/>
      <c r="AE309" s="216"/>
      <c r="AF309" s="212"/>
      <c r="AG309" s="212"/>
      <c r="AH309" s="212"/>
      <c r="AI309" s="216"/>
      <c r="AJ309" s="216"/>
      <c r="AK309" s="216"/>
      <c r="AL309" s="216"/>
      <c r="AM309" s="216"/>
      <c r="AN309" s="216"/>
      <c r="AO309" s="216"/>
      <c r="AP309" s="217"/>
      <c r="AQ309" s="212"/>
      <c r="AR309" s="212"/>
      <c r="AS309" s="212"/>
      <c r="AT309" s="212"/>
      <c r="AU309" s="212"/>
      <c r="AV309" s="212"/>
      <c r="AW309" s="212"/>
      <c r="AX309" s="212"/>
      <c r="AY309" s="212"/>
      <c r="AZ309" s="212"/>
      <c r="BA309" s="212"/>
      <c r="BB309" s="212"/>
      <c r="BC309" s="212"/>
      <c r="BD309" s="212"/>
      <c r="BE309" s="212"/>
      <c r="BF309" s="216"/>
      <c r="BG309" s="212"/>
    </row>
    <row r="310" spans="1:59" ht="15.75" customHeight="1" x14ac:dyDescent="0.25">
      <c r="A310" s="212"/>
      <c r="B310" s="212"/>
      <c r="C310" s="212"/>
      <c r="D310" s="212"/>
      <c r="E310" s="216"/>
      <c r="F310" s="216"/>
      <c r="G310" s="269"/>
      <c r="H310" s="216"/>
      <c r="I310" s="218"/>
      <c r="J310" s="212"/>
      <c r="K310" s="212"/>
      <c r="L310" s="212"/>
      <c r="M310" s="212"/>
      <c r="N310" s="212"/>
      <c r="O310" s="217"/>
      <c r="P310" s="217"/>
      <c r="Q310" s="212"/>
      <c r="R310" s="212"/>
      <c r="S310" s="217"/>
      <c r="T310" s="217"/>
      <c r="U310" s="212"/>
      <c r="V310" s="212"/>
      <c r="W310" s="212"/>
      <c r="X310" s="212"/>
      <c r="Y310" s="212"/>
      <c r="Z310" s="212"/>
      <c r="AA310" s="219"/>
      <c r="AB310" s="216"/>
      <c r="AC310" s="216"/>
      <c r="AD310" s="216"/>
      <c r="AE310" s="216"/>
      <c r="AF310" s="212"/>
      <c r="AG310" s="212"/>
      <c r="AH310" s="212"/>
      <c r="AI310" s="216"/>
      <c r="AJ310" s="216"/>
      <c r="AK310" s="216"/>
      <c r="AL310" s="216"/>
      <c r="AM310" s="216"/>
      <c r="AN310" s="216"/>
      <c r="AO310" s="216"/>
      <c r="AP310" s="217"/>
      <c r="AQ310" s="212"/>
      <c r="AR310" s="212"/>
      <c r="AS310" s="212"/>
      <c r="AT310" s="212"/>
      <c r="AU310" s="212"/>
      <c r="AV310" s="212"/>
      <c r="AW310" s="212"/>
      <c r="AX310" s="212"/>
      <c r="AY310" s="212"/>
      <c r="AZ310" s="212"/>
      <c r="BA310" s="212"/>
      <c r="BB310" s="212"/>
      <c r="BC310" s="212"/>
      <c r="BD310" s="212"/>
      <c r="BE310" s="212"/>
      <c r="BF310" s="216"/>
      <c r="BG310" s="212"/>
    </row>
    <row r="311" spans="1:59" ht="15.75" customHeight="1" x14ac:dyDescent="0.25">
      <c r="A311" s="212"/>
      <c r="B311" s="212"/>
      <c r="C311" s="212"/>
      <c r="D311" s="212"/>
      <c r="E311" s="216"/>
      <c r="F311" s="216"/>
      <c r="G311" s="269"/>
      <c r="H311" s="216"/>
      <c r="I311" s="218"/>
      <c r="J311" s="212"/>
      <c r="K311" s="212"/>
      <c r="L311" s="212"/>
      <c r="M311" s="212"/>
      <c r="N311" s="212"/>
      <c r="O311" s="217"/>
      <c r="P311" s="217"/>
      <c r="Q311" s="212"/>
      <c r="R311" s="212"/>
      <c r="S311" s="217"/>
      <c r="T311" s="217"/>
      <c r="U311" s="212"/>
      <c r="V311" s="212"/>
      <c r="W311" s="212"/>
      <c r="X311" s="212"/>
      <c r="Y311" s="212"/>
      <c r="Z311" s="212"/>
      <c r="AA311" s="219"/>
      <c r="AB311" s="216"/>
      <c r="AC311" s="216"/>
      <c r="AD311" s="216"/>
      <c r="AE311" s="216"/>
      <c r="AF311" s="212"/>
      <c r="AG311" s="212"/>
      <c r="AH311" s="212"/>
      <c r="AI311" s="216"/>
      <c r="AJ311" s="216"/>
      <c r="AK311" s="216"/>
      <c r="AL311" s="216"/>
      <c r="AM311" s="216"/>
      <c r="AN311" s="216"/>
      <c r="AO311" s="216"/>
      <c r="AP311" s="217"/>
      <c r="AQ311" s="212"/>
      <c r="AR311" s="212"/>
      <c r="AS311" s="212"/>
      <c r="AT311" s="212"/>
      <c r="AU311" s="212"/>
      <c r="AV311" s="212"/>
      <c r="AW311" s="212"/>
      <c r="AX311" s="212"/>
      <c r="AY311" s="212"/>
      <c r="AZ311" s="212"/>
      <c r="BA311" s="212"/>
      <c r="BB311" s="212"/>
      <c r="BC311" s="212"/>
      <c r="BD311" s="212"/>
      <c r="BE311" s="212"/>
      <c r="BF311" s="216"/>
      <c r="BG311" s="212"/>
    </row>
    <row r="312" spans="1:59" ht="15.75" customHeight="1" x14ac:dyDescent="0.25">
      <c r="A312" s="212"/>
      <c r="B312" s="212"/>
      <c r="C312" s="212"/>
      <c r="D312" s="212"/>
      <c r="E312" s="216"/>
      <c r="F312" s="216"/>
      <c r="G312" s="269"/>
      <c r="H312" s="216"/>
      <c r="I312" s="218"/>
      <c r="J312" s="212"/>
      <c r="K312" s="212"/>
      <c r="L312" s="212"/>
      <c r="M312" s="212"/>
      <c r="N312" s="212"/>
      <c r="O312" s="217"/>
      <c r="P312" s="217"/>
      <c r="Q312" s="212"/>
      <c r="R312" s="212"/>
      <c r="S312" s="217"/>
      <c r="T312" s="217"/>
      <c r="U312" s="212"/>
      <c r="V312" s="212"/>
      <c r="W312" s="212"/>
      <c r="X312" s="212"/>
      <c r="Y312" s="212"/>
      <c r="Z312" s="212"/>
      <c r="AA312" s="219"/>
      <c r="AB312" s="216"/>
      <c r="AC312" s="216"/>
      <c r="AD312" s="216"/>
      <c r="AE312" s="216"/>
      <c r="AF312" s="212"/>
      <c r="AG312" s="212"/>
      <c r="AH312" s="212"/>
      <c r="AI312" s="216"/>
      <c r="AJ312" s="216"/>
      <c r="AK312" s="216"/>
      <c r="AL312" s="216"/>
      <c r="AM312" s="216"/>
      <c r="AN312" s="216"/>
      <c r="AO312" s="216"/>
      <c r="AP312" s="217"/>
      <c r="AQ312" s="212"/>
      <c r="AR312" s="212"/>
      <c r="AS312" s="212"/>
      <c r="AT312" s="212"/>
      <c r="AU312" s="212"/>
      <c r="AV312" s="212"/>
      <c r="AW312" s="212"/>
      <c r="AX312" s="212"/>
      <c r="AY312" s="212"/>
      <c r="AZ312" s="212"/>
      <c r="BA312" s="212"/>
      <c r="BB312" s="212"/>
      <c r="BC312" s="212"/>
      <c r="BD312" s="212"/>
      <c r="BE312" s="212"/>
      <c r="BF312" s="216"/>
      <c r="BG312" s="212"/>
    </row>
    <row r="313" spans="1:59" ht="15.75" customHeight="1" x14ac:dyDescent="0.25">
      <c r="A313" s="212"/>
      <c r="B313" s="212"/>
      <c r="C313" s="212"/>
      <c r="D313" s="212"/>
      <c r="E313" s="216"/>
      <c r="F313" s="216"/>
      <c r="G313" s="269"/>
      <c r="H313" s="216"/>
      <c r="I313" s="218"/>
      <c r="J313" s="212"/>
      <c r="K313" s="212"/>
      <c r="L313" s="212"/>
      <c r="M313" s="212"/>
      <c r="N313" s="212"/>
      <c r="O313" s="217"/>
      <c r="P313" s="217"/>
      <c r="Q313" s="212"/>
      <c r="R313" s="212"/>
      <c r="S313" s="217"/>
      <c r="T313" s="217"/>
      <c r="U313" s="212"/>
      <c r="V313" s="212"/>
      <c r="W313" s="212"/>
      <c r="X313" s="212"/>
      <c r="Y313" s="212"/>
      <c r="Z313" s="212"/>
      <c r="AA313" s="219"/>
      <c r="AB313" s="216"/>
      <c r="AC313" s="216"/>
      <c r="AD313" s="216"/>
      <c r="AE313" s="216"/>
      <c r="AF313" s="212"/>
      <c r="AG313" s="212"/>
      <c r="AH313" s="212"/>
      <c r="AI313" s="216"/>
      <c r="AJ313" s="216"/>
      <c r="AK313" s="216"/>
      <c r="AL313" s="216"/>
      <c r="AM313" s="216"/>
      <c r="AN313" s="216"/>
      <c r="AO313" s="216"/>
      <c r="AP313" s="217"/>
      <c r="AQ313" s="212"/>
      <c r="AR313" s="212"/>
      <c r="AS313" s="212"/>
      <c r="AT313" s="212"/>
      <c r="AU313" s="212"/>
      <c r="AV313" s="212"/>
      <c r="AW313" s="212"/>
      <c r="AX313" s="212"/>
      <c r="AY313" s="212"/>
      <c r="AZ313" s="212"/>
      <c r="BA313" s="212"/>
      <c r="BB313" s="212"/>
      <c r="BC313" s="212"/>
      <c r="BD313" s="212"/>
      <c r="BE313" s="212"/>
      <c r="BF313" s="216"/>
      <c r="BG313" s="212"/>
    </row>
    <row r="314" spans="1:59" ht="15.75" customHeight="1" x14ac:dyDescent="0.25">
      <c r="A314" s="212"/>
      <c r="B314" s="212"/>
      <c r="C314" s="212"/>
      <c r="D314" s="212"/>
      <c r="E314" s="216"/>
      <c r="F314" s="216"/>
      <c r="G314" s="269"/>
      <c r="H314" s="216"/>
      <c r="I314" s="218"/>
      <c r="J314" s="212"/>
      <c r="K314" s="212"/>
      <c r="L314" s="212"/>
      <c r="M314" s="212"/>
      <c r="N314" s="212"/>
      <c r="O314" s="217"/>
      <c r="P314" s="217"/>
      <c r="Q314" s="212"/>
      <c r="R314" s="212"/>
      <c r="S314" s="217"/>
      <c r="T314" s="217"/>
      <c r="U314" s="212"/>
      <c r="V314" s="212"/>
      <c r="W314" s="212"/>
      <c r="X314" s="212"/>
      <c r="Y314" s="212"/>
      <c r="Z314" s="212"/>
      <c r="AA314" s="219"/>
      <c r="AB314" s="216"/>
      <c r="AC314" s="216"/>
      <c r="AD314" s="216"/>
      <c r="AE314" s="216"/>
      <c r="AF314" s="212"/>
      <c r="AG314" s="212"/>
      <c r="AH314" s="212"/>
      <c r="AI314" s="216"/>
      <c r="AJ314" s="216"/>
      <c r="AK314" s="216"/>
      <c r="AL314" s="216"/>
      <c r="AM314" s="216"/>
      <c r="AN314" s="216"/>
      <c r="AO314" s="216"/>
      <c r="AP314" s="217"/>
      <c r="AQ314" s="212"/>
      <c r="AR314" s="212"/>
      <c r="AS314" s="212"/>
      <c r="AT314" s="212"/>
      <c r="AU314" s="212"/>
      <c r="AV314" s="212"/>
      <c r="AW314" s="212"/>
      <c r="AX314" s="212"/>
      <c r="AY314" s="212"/>
      <c r="AZ314" s="212"/>
      <c r="BA314" s="212"/>
      <c r="BB314" s="212"/>
      <c r="BC314" s="212"/>
      <c r="BD314" s="212"/>
      <c r="BE314" s="212"/>
      <c r="BF314" s="216"/>
      <c r="BG314" s="212"/>
    </row>
    <row r="315" spans="1:59" ht="15.75" customHeight="1" x14ac:dyDescent="0.25">
      <c r="A315" s="212"/>
      <c r="B315" s="212"/>
      <c r="C315" s="212"/>
      <c r="D315" s="212"/>
      <c r="E315" s="216"/>
      <c r="F315" s="216"/>
      <c r="G315" s="269"/>
      <c r="H315" s="216"/>
      <c r="I315" s="218"/>
      <c r="J315" s="212"/>
      <c r="K315" s="212"/>
      <c r="L315" s="212"/>
      <c r="M315" s="212"/>
      <c r="N315" s="212"/>
      <c r="O315" s="217"/>
      <c r="P315" s="217"/>
      <c r="Q315" s="212"/>
      <c r="R315" s="212"/>
      <c r="S315" s="217"/>
      <c r="T315" s="217"/>
      <c r="U315" s="212"/>
      <c r="V315" s="212"/>
      <c r="W315" s="212"/>
      <c r="X315" s="212"/>
      <c r="Y315" s="212"/>
      <c r="Z315" s="212"/>
      <c r="AA315" s="219"/>
      <c r="AB315" s="216"/>
      <c r="AC315" s="216"/>
      <c r="AD315" s="216"/>
      <c r="AE315" s="216"/>
      <c r="AF315" s="212"/>
      <c r="AG315" s="212"/>
      <c r="AH315" s="212"/>
      <c r="AI315" s="216"/>
      <c r="AJ315" s="216"/>
      <c r="AK315" s="216"/>
      <c r="AL315" s="216"/>
      <c r="AM315" s="216"/>
      <c r="AN315" s="216"/>
      <c r="AO315" s="216"/>
      <c r="AP315" s="217"/>
      <c r="AQ315" s="212"/>
      <c r="AR315" s="212"/>
      <c r="AS315" s="212"/>
      <c r="AT315" s="212"/>
      <c r="AU315" s="212"/>
      <c r="AV315" s="212"/>
      <c r="AW315" s="212"/>
      <c r="AX315" s="212"/>
      <c r="AY315" s="212"/>
      <c r="AZ315" s="212"/>
      <c r="BA315" s="212"/>
      <c r="BB315" s="212"/>
      <c r="BC315" s="212"/>
      <c r="BD315" s="212"/>
      <c r="BE315" s="212"/>
      <c r="BF315" s="216"/>
      <c r="BG315" s="212"/>
    </row>
    <row r="316" spans="1:59" ht="15.75" customHeight="1" x14ac:dyDescent="0.25">
      <c r="A316" s="212"/>
      <c r="B316" s="212"/>
      <c r="C316" s="212"/>
      <c r="D316" s="212"/>
      <c r="E316" s="216"/>
      <c r="F316" s="216"/>
      <c r="G316" s="269"/>
      <c r="H316" s="216"/>
      <c r="I316" s="218"/>
      <c r="J316" s="212"/>
      <c r="K316" s="212"/>
      <c r="L316" s="212"/>
      <c r="M316" s="212"/>
      <c r="N316" s="212"/>
      <c r="O316" s="217"/>
      <c r="P316" s="217"/>
      <c r="Q316" s="212"/>
      <c r="R316" s="212"/>
      <c r="S316" s="217"/>
      <c r="T316" s="217"/>
      <c r="U316" s="212"/>
      <c r="V316" s="212"/>
      <c r="W316" s="212"/>
      <c r="X316" s="212"/>
      <c r="Y316" s="212"/>
      <c r="Z316" s="212"/>
      <c r="AA316" s="219"/>
      <c r="AB316" s="216"/>
      <c r="AC316" s="216"/>
      <c r="AD316" s="216"/>
      <c r="AE316" s="216"/>
      <c r="AF316" s="212"/>
      <c r="AG316" s="212"/>
      <c r="AH316" s="212"/>
      <c r="AI316" s="216"/>
      <c r="AJ316" s="216"/>
      <c r="AK316" s="216"/>
      <c r="AL316" s="216"/>
      <c r="AM316" s="216"/>
      <c r="AN316" s="216"/>
      <c r="AO316" s="216"/>
      <c r="AP316" s="217"/>
      <c r="AQ316" s="212"/>
      <c r="AR316" s="212"/>
      <c r="AS316" s="212"/>
      <c r="AT316" s="212"/>
      <c r="AU316" s="212"/>
      <c r="AV316" s="212"/>
      <c r="AW316" s="212"/>
      <c r="AX316" s="212"/>
      <c r="AY316" s="212"/>
      <c r="AZ316" s="212"/>
      <c r="BA316" s="212"/>
      <c r="BB316" s="212"/>
      <c r="BC316" s="212"/>
      <c r="BD316" s="212"/>
      <c r="BE316" s="212"/>
      <c r="BF316" s="216"/>
      <c r="BG316" s="212"/>
    </row>
    <row r="317" spans="1:59" ht="15.75" customHeight="1" x14ac:dyDescent="0.25">
      <c r="A317" s="212"/>
      <c r="B317" s="212"/>
      <c r="C317" s="212"/>
      <c r="D317" s="212"/>
      <c r="E317" s="216"/>
      <c r="F317" s="216"/>
      <c r="G317" s="269"/>
      <c r="H317" s="216"/>
      <c r="I317" s="218"/>
      <c r="J317" s="212"/>
      <c r="K317" s="212"/>
      <c r="L317" s="212"/>
      <c r="M317" s="212"/>
      <c r="N317" s="212"/>
      <c r="O317" s="217"/>
      <c r="P317" s="217"/>
      <c r="Q317" s="212"/>
      <c r="R317" s="212"/>
      <c r="S317" s="217"/>
      <c r="T317" s="217"/>
      <c r="U317" s="212"/>
      <c r="V317" s="212"/>
      <c r="W317" s="212"/>
      <c r="X317" s="212"/>
      <c r="Y317" s="212"/>
      <c r="Z317" s="212"/>
      <c r="AA317" s="219"/>
      <c r="AB317" s="216"/>
      <c r="AC317" s="216"/>
      <c r="AD317" s="216"/>
      <c r="AE317" s="216"/>
      <c r="AF317" s="212"/>
      <c r="AG317" s="212"/>
      <c r="AH317" s="212"/>
      <c r="AI317" s="216"/>
      <c r="AJ317" s="216"/>
      <c r="AK317" s="216"/>
      <c r="AL317" s="216"/>
      <c r="AM317" s="216"/>
      <c r="AN317" s="216"/>
      <c r="AO317" s="216"/>
      <c r="AP317" s="217"/>
      <c r="AQ317" s="212"/>
      <c r="AR317" s="212"/>
      <c r="AS317" s="212"/>
      <c r="AT317" s="212"/>
      <c r="AU317" s="212"/>
      <c r="AV317" s="212"/>
      <c r="AW317" s="212"/>
      <c r="AX317" s="212"/>
      <c r="AY317" s="212"/>
      <c r="AZ317" s="212"/>
      <c r="BA317" s="212"/>
      <c r="BB317" s="212"/>
      <c r="BC317" s="212"/>
      <c r="BD317" s="212"/>
      <c r="BE317" s="212"/>
      <c r="BF317" s="216"/>
      <c r="BG317" s="212"/>
    </row>
    <row r="318" spans="1:59" ht="15.75" customHeight="1" x14ac:dyDescent="0.25">
      <c r="A318" s="212"/>
      <c r="B318" s="212"/>
      <c r="C318" s="212"/>
      <c r="D318" s="212"/>
      <c r="E318" s="216"/>
      <c r="F318" s="216"/>
      <c r="G318" s="269"/>
      <c r="H318" s="216"/>
      <c r="I318" s="218"/>
      <c r="J318" s="212"/>
      <c r="K318" s="212"/>
      <c r="L318" s="212"/>
      <c r="M318" s="212"/>
      <c r="N318" s="212"/>
      <c r="O318" s="217"/>
      <c r="P318" s="217"/>
      <c r="Q318" s="212"/>
      <c r="R318" s="212"/>
      <c r="S318" s="217"/>
      <c r="T318" s="217"/>
      <c r="U318" s="212"/>
      <c r="V318" s="212"/>
      <c r="W318" s="212"/>
      <c r="X318" s="212"/>
      <c r="Y318" s="212"/>
      <c r="Z318" s="212"/>
      <c r="AA318" s="219"/>
      <c r="AB318" s="216"/>
      <c r="AC318" s="216"/>
      <c r="AD318" s="216"/>
      <c r="AE318" s="216"/>
      <c r="AF318" s="212"/>
      <c r="AG318" s="212"/>
      <c r="AH318" s="212"/>
      <c r="AI318" s="216"/>
      <c r="AJ318" s="216"/>
      <c r="AK318" s="216"/>
      <c r="AL318" s="216"/>
      <c r="AM318" s="216"/>
      <c r="AN318" s="216"/>
      <c r="AO318" s="216"/>
      <c r="AP318" s="217"/>
      <c r="AQ318" s="212"/>
      <c r="AR318" s="212"/>
      <c r="AS318" s="212"/>
      <c r="AT318" s="212"/>
      <c r="AU318" s="212"/>
      <c r="AV318" s="212"/>
      <c r="AW318" s="212"/>
      <c r="AX318" s="212"/>
      <c r="AY318" s="212"/>
      <c r="AZ318" s="212"/>
      <c r="BA318" s="212"/>
      <c r="BB318" s="212"/>
      <c r="BC318" s="212"/>
      <c r="BD318" s="212"/>
      <c r="BE318" s="212"/>
      <c r="BF318" s="216"/>
      <c r="BG318" s="212"/>
    </row>
    <row r="319" spans="1:59" ht="15.75" customHeight="1" x14ac:dyDescent="0.25">
      <c r="A319" s="212"/>
      <c r="B319" s="212"/>
      <c r="C319" s="212"/>
      <c r="D319" s="212"/>
      <c r="E319" s="216"/>
      <c r="F319" s="216"/>
      <c r="G319" s="269"/>
      <c r="H319" s="216"/>
      <c r="I319" s="218"/>
      <c r="J319" s="212"/>
      <c r="K319" s="212"/>
      <c r="L319" s="212"/>
      <c r="M319" s="212"/>
      <c r="N319" s="212"/>
      <c r="O319" s="217"/>
      <c r="P319" s="217"/>
      <c r="Q319" s="212"/>
      <c r="R319" s="212"/>
      <c r="S319" s="217"/>
      <c r="T319" s="217"/>
      <c r="U319" s="212"/>
      <c r="V319" s="212"/>
      <c r="W319" s="212"/>
      <c r="X319" s="212"/>
      <c r="Y319" s="212"/>
      <c r="Z319" s="212"/>
      <c r="AA319" s="219"/>
      <c r="AB319" s="216"/>
      <c r="AC319" s="216"/>
      <c r="AD319" s="216"/>
      <c r="AE319" s="216"/>
      <c r="AF319" s="212"/>
      <c r="AG319" s="212"/>
      <c r="AH319" s="212"/>
      <c r="AI319" s="216"/>
      <c r="AJ319" s="216"/>
      <c r="AK319" s="216"/>
      <c r="AL319" s="216"/>
      <c r="AM319" s="216"/>
      <c r="AN319" s="216"/>
      <c r="AO319" s="216"/>
      <c r="AP319" s="217"/>
      <c r="AQ319" s="212"/>
      <c r="AR319" s="212"/>
      <c r="AS319" s="212"/>
      <c r="AT319" s="212"/>
      <c r="AU319" s="212"/>
      <c r="AV319" s="212"/>
      <c r="AW319" s="212"/>
      <c r="AX319" s="212"/>
      <c r="AY319" s="212"/>
      <c r="AZ319" s="212"/>
      <c r="BA319" s="212"/>
      <c r="BB319" s="212"/>
      <c r="BC319" s="212"/>
      <c r="BD319" s="212"/>
      <c r="BE319" s="212"/>
      <c r="BF319" s="216"/>
      <c r="BG319" s="212"/>
    </row>
    <row r="320" spans="1:59" ht="15.75" customHeight="1" x14ac:dyDescent="0.25">
      <c r="A320" s="212"/>
      <c r="B320" s="212"/>
      <c r="C320" s="212"/>
      <c r="D320" s="212"/>
      <c r="E320" s="216"/>
      <c r="F320" s="216"/>
      <c r="G320" s="269"/>
      <c r="H320" s="216"/>
      <c r="I320" s="218"/>
      <c r="J320" s="212"/>
      <c r="K320" s="212"/>
      <c r="L320" s="212"/>
      <c r="M320" s="212"/>
      <c r="N320" s="212"/>
      <c r="O320" s="217"/>
      <c r="P320" s="217"/>
      <c r="Q320" s="212"/>
      <c r="R320" s="212"/>
      <c r="S320" s="217"/>
      <c r="T320" s="217"/>
      <c r="U320" s="212"/>
      <c r="V320" s="212"/>
      <c r="W320" s="212"/>
      <c r="X320" s="212"/>
      <c r="Y320" s="212"/>
      <c r="Z320" s="212"/>
      <c r="AA320" s="219"/>
      <c r="AB320" s="216"/>
      <c r="AC320" s="216"/>
      <c r="AD320" s="216"/>
      <c r="AE320" s="216"/>
      <c r="AF320" s="212"/>
      <c r="AG320" s="212"/>
      <c r="AH320" s="212"/>
      <c r="AI320" s="216"/>
      <c r="AJ320" s="216"/>
      <c r="AK320" s="216"/>
      <c r="AL320" s="216"/>
      <c r="AM320" s="216"/>
      <c r="AN320" s="216"/>
      <c r="AO320" s="216"/>
      <c r="AP320" s="217"/>
      <c r="AQ320" s="212"/>
      <c r="AR320" s="212"/>
      <c r="AS320" s="212"/>
      <c r="AT320" s="212"/>
      <c r="AU320" s="212"/>
      <c r="AV320" s="212"/>
      <c r="AW320" s="212"/>
      <c r="AX320" s="212"/>
      <c r="AY320" s="212"/>
      <c r="AZ320" s="212"/>
      <c r="BA320" s="212"/>
      <c r="BB320" s="212"/>
      <c r="BC320" s="212"/>
      <c r="BD320" s="212"/>
      <c r="BE320" s="212"/>
      <c r="BF320" s="216"/>
      <c r="BG320" s="212"/>
    </row>
    <row r="321" spans="1:59" ht="15.75" customHeight="1" x14ac:dyDescent="0.25">
      <c r="A321" s="212"/>
      <c r="B321" s="212"/>
      <c r="C321" s="212"/>
      <c r="D321" s="212"/>
      <c r="E321" s="216"/>
      <c r="F321" s="216"/>
      <c r="G321" s="269"/>
      <c r="H321" s="216"/>
      <c r="I321" s="218"/>
      <c r="J321" s="212"/>
      <c r="K321" s="212"/>
      <c r="L321" s="212"/>
      <c r="M321" s="212"/>
      <c r="N321" s="212"/>
      <c r="O321" s="217"/>
      <c r="P321" s="217"/>
      <c r="Q321" s="212"/>
      <c r="R321" s="212"/>
      <c r="S321" s="217"/>
      <c r="T321" s="217"/>
      <c r="U321" s="212"/>
      <c r="V321" s="212"/>
      <c r="W321" s="212"/>
      <c r="X321" s="212"/>
      <c r="Y321" s="212"/>
      <c r="Z321" s="212"/>
      <c r="AA321" s="219"/>
      <c r="AB321" s="216"/>
      <c r="AC321" s="216"/>
      <c r="AD321" s="216"/>
      <c r="AE321" s="216"/>
      <c r="AF321" s="212"/>
      <c r="AG321" s="212"/>
      <c r="AH321" s="212"/>
      <c r="AI321" s="216"/>
      <c r="AJ321" s="216"/>
      <c r="AK321" s="216"/>
      <c r="AL321" s="216"/>
      <c r="AM321" s="216"/>
      <c r="AN321" s="216"/>
      <c r="AO321" s="216"/>
      <c r="AP321" s="217"/>
      <c r="AQ321" s="212"/>
      <c r="AR321" s="212"/>
      <c r="AS321" s="212"/>
      <c r="AT321" s="212"/>
      <c r="AU321" s="212"/>
      <c r="AV321" s="212"/>
      <c r="AW321" s="212"/>
      <c r="AX321" s="212"/>
      <c r="AY321" s="212"/>
      <c r="AZ321" s="212"/>
      <c r="BA321" s="212"/>
      <c r="BB321" s="212"/>
      <c r="BC321" s="212"/>
      <c r="BD321" s="212"/>
      <c r="BE321" s="212"/>
      <c r="BF321" s="216"/>
      <c r="BG321" s="212"/>
    </row>
    <row r="322" spans="1:59" ht="15.75" customHeight="1" x14ac:dyDescent="0.25">
      <c r="A322" s="212"/>
      <c r="B322" s="212"/>
      <c r="C322" s="212"/>
      <c r="D322" s="212"/>
      <c r="E322" s="216"/>
      <c r="F322" s="216"/>
      <c r="G322" s="269"/>
      <c r="H322" s="216"/>
      <c r="I322" s="218"/>
      <c r="J322" s="212"/>
      <c r="K322" s="212"/>
      <c r="L322" s="212"/>
      <c r="M322" s="212"/>
      <c r="N322" s="212"/>
      <c r="O322" s="217"/>
      <c r="P322" s="217"/>
      <c r="Q322" s="212"/>
      <c r="R322" s="212"/>
      <c r="S322" s="217"/>
      <c r="T322" s="217"/>
      <c r="U322" s="212"/>
      <c r="V322" s="212"/>
      <c r="W322" s="212"/>
      <c r="X322" s="212"/>
      <c r="Y322" s="212"/>
      <c r="Z322" s="212"/>
      <c r="AA322" s="219"/>
      <c r="AB322" s="216"/>
      <c r="AC322" s="216"/>
      <c r="AD322" s="216"/>
      <c r="AE322" s="216"/>
      <c r="AF322" s="212"/>
      <c r="AG322" s="212"/>
      <c r="AH322" s="212"/>
      <c r="AI322" s="216"/>
      <c r="AJ322" s="216"/>
      <c r="AK322" s="216"/>
      <c r="AL322" s="216"/>
      <c r="AM322" s="216"/>
      <c r="AN322" s="216"/>
      <c r="AO322" s="216"/>
      <c r="AP322" s="217"/>
      <c r="AQ322" s="212"/>
      <c r="AR322" s="212"/>
      <c r="AS322" s="212"/>
      <c r="AT322" s="212"/>
      <c r="AU322" s="212"/>
      <c r="AV322" s="212"/>
      <c r="AW322" s="212"/>
      <c r="AX322" s="212"/>
      <c r="AY322" s="212"/>
      <c r="AZ322" s="212"/>
      <c r="BA322" s="212"/>
      <c r="BB322" s="212"/>
      <c r="BC322" s="212"/>
      <c r="BD322" s="212"/>
      <c r="BE322" s="212"/>
      <c r="BF322" s="216"/>
      <c r="BG322" s="212"/>
    </row>
    <row r="323" spans="1:59" ht="15.75" customHeight="1" x14ac:dyDescent="0.25">
      <c r="A323" s="212"/>
      <c r="B323" s="212"/>
      <c r="C323" s="212"/>
      <c r="D323" s="212"/>
      <c r="E323" s="216"/>
      <c r="F323" s="216"/>
      <c r="G323" s="269"/>
      <c r="H323" s="216"/>
      <c r="I323" s="218"/>
      <c r="J323" s="212"/>
      <c r="K323" s="212"/>
      <c r="L323" s="212"/>
      <c r="M323" s="212"/>
      <c r="N323" s="212"/>
      <c r="O323" s="217"/>
      <c r="P323" s="217"/>
      <c r="Q323" s="212"/>
      <c r="R323" s="212"/>
      <c r="S323" s="217"/>
      <c r="T323" s="217"/>
      <c r="U323" s="212"/>
      <c r="V323" s="212"/>
      <c r="W323" s="212"/>
      <c r="X323" s="212"/>
      <c r="Y323" s="212"/>
      <c r="Z323" s="212"/>
      <c r="AA323" s="219"/>
      <c r="AB323" s="216"/>
      <c r="AC323" s="216"/>
      <c r="AD323" s="216"/>
      <c r="AE323" s="216"/>
      <c r="AF323" s="212"/>
      <c r="AG323" s="212"/>
      <c r="AH323" s="212"/>
      <c r="AI323" s="216"/>
      <c r="AJ323" s="216"/>
      <c r="AK323" s="216"/>
      <c r="AL323" s="216"/>
      <c r="AM323" s="216"/>
      <c r="AN323" s="216"/>
      <c r="AO323" s="216"/>
      <c r="AP323" s="217"/>
      <c r="AQ323" s="212"/>
      <c r="AR323" s="212"/>
      <c r="AS323" s="212"/>
      <c r="AT323" s="212"/>
      <c r="AU323" s="212"/>
      <c r="AV323" s="212"/>
      <c r="AW323" s="212"/>
      <c r="AX323" s="212"/>
      <c r="AY323" s="212"/>
      <c r="AZ323" s="212"/>
      <c r="BA323" s="212"/>
      <c r="BB323" s="212"/>
      <c r="BC323" s="212"/>
      <c r="BD323" s="212"/>
      <c r="BE323" s="212"/>
      <c r="BF323" s="216"/>
      <c r="BG323" s="212"/>
    </row>
    <row r="324" spans="1:59" ht="15.75" customHeight="1" x14ac:dyDescent="0.25">
      <c r="A324" s="212"/>
      <c r="B324" s="212"/>
      <c r="C324" s="212"/>
      <c r="D324" s="212"/>
      <c r="E324" s="216"/>
      <c r="F324" s="216"/>
      <c r="G324" s="269"/>
      <c r="H324" s="216"/>
      <c r="I324" s="218"/>
      <c r="J324" s="212"/>
      <c r="K324" s="212"/>
      <c r="L324" s="212"/>
      <c r="M324" s="212"/>
      <c r="N324" s="212"/>
      <c r="O324" s="217"/>
      <c r="P324" s="217"/>
      <c r="Q324" s="212"/>
      <c r="R324" s="212"/>
      <c r="S324" s="217"/>
      <c r="T324" s="217"/>
      <c r="U324" s="212"/>
      <c r="V324" s="212"/>
      <c r="W324" s="212"/>
      <c r="X324" s="212"/>
      <c r="Y324" s="212"/>
      <c r="Z324" s="212"/>
      <c r="AA324" s="219"/>
      <c r="AB324" s="216"/>
      <c r="AC324" s="216"/>
      <c r="AD324" s="216"/>
      <c r="AE324" s="216"/>
      <c r="AF324" s="212"/>
      <c r="AG324" s="212"/>
      <c r="AH324" s="212"/>
      <c r="AI324" s="216"/>
      <c r="AJ324" s="216"/>
      <c r="AK324" s="216"/>
      <c r="AL324" s="216"/>
      <c r="AM324" s="216"/>
      <c r="AN324" s="216"/>
      <c r="AO324" s="216"/>
      <c r="AP324" s="217"/>
      <c r="AQ324" s="212"/>
      <c r="AR324" s="212"/>
      <c r="AS324" s="212"/>
      <c r="AT324" s="212"/>
      <c r="AU324" s="212"/>
      <c r="AV324" s="212"/>
      <c r="AW324" s="212"/>
      <c r="AX324" s="212"/>
      <c r="AY324" s="212"/>
      <c r="AZ324" s="212"/>
      <c r="BA324" s="212"/>
      <c r="BB324" s="212"/>
      <c r="BC324" s="212"/>
      <c r="BD324" s="212"/>
      <c r="BE324" s="212"/>
      <c r="BF324" s="216"/>
      <c r="BG324" s="212"/>
    </row>
    <row r="325" spans="1:59" ht="15.75" customHeight="1" x14ac:dyDescent="0.25">
      <c r="A325" s="212"/>
      <c r="B325" s="212"/>
      <c r="C325" s="212"/>
      <c r="D325" s="212"/>
      <c r="E325" s="216"/>
      <c r="F325" s="216"/>
      <c r="G325" s="269"/>
      <c r="H325" s="216"/>
      <c r="I325" s="218"/>
      <c r="J325" s="212"/>
      <c r="K325" s="212"/>
      <c r="L325" s="212"/>
      <c r="M325" s="212"/>
      <c r="N325" s="212"/>
      <c r="O325" s="217"/>
      <c r="P325" s="217"/>
      <c r="Q325" s="212"/>
      <c r="R325" s="212"/>
      <c r="S325" s="217"/>
      <c r="T325" s="217"/>
      <c r="U325" s="212"/>
      <c r="V325" s="212"/>
      <c r="W325" s="212"/>
      <c r="X325" s="212"/>
      <c r="Y325" s="212"/>
      <c r="Z325" s="212"/>
      <c r="AA325" s="219"/>
      <c r="AB325" s="216"/>
      <c r="AC325" s="216"/>
      <c r="AD325" s="216"/>
      <c r="AE325" s="216"/>
      <c r="AF325" s="212"/>
      <c r="AG325" s="212"/>
      <c r="AH325" s="212"/>
      <c r="AI325" s="216"/>
      <c r="AJ325" s="216"/>
      <c r="AK325" s="216"/>
      <c r="AL325" s="216"/>
      <c r="AM325" s="216"/>
      <c r="AN325" s="216"/>
      <c r="AO325" s="216"/>
      <c r="AP325" s="217"/>
      <c r="AQ325" s="212"/>
      <c r="AR325" s="212"/>
      <c r="AS325" s="212"/>
      <c r="AT325" s="212"/>
      <c r="AU325" s="212"/>
      <c r="AV325" s="212"/>
      <c r="AW325" s="212"/>
      <c r="AX325" s="212"/>
      <c r="AY325" s="212"/>
      <c r="AZ325" s="212"/>
      <c r="BA325" s="212"/>
      <c r="BB325" s="212"/>
      <c r="BC325" s="212"/>
      <c r="BD325" s="212"/>
      <c r="BE325" s="212"/>
      <c r="BF325" s="216"/>
      <c r="BG325" s="212"/>
    </row>
    <row r="326" spans="1:59" ht="15.75" customHeight="1" x14ac:dyDescent="0.25">
      <c r="A326" s="212"/>
      <c r="B326" s="212"/>
      <c r="C326" s="212"/>
      <c r="D326" s="212"/>
      <c r="E326" s="216"/>
      <c r="F326" s="216"/>
      <c r="G326" s="269"/>
      <c r="H326" s="216"/>
      <c r="I326" s="218"/>
      <c r="J326" s="212"/>
      <c r="K326" s="212"/>
      <c r="L326" s="212"/>
      <c r="M326" s="212"/>
      <c r="N326" s="212"/>
      <c r="O326" s="217"/>
      <c r="P326" s="217"/>
      <c r="Q326" s="212"/>
      <c r="R326" s="212"/>
      <c r="S326" s="217"/>
      <c r="T326" s="217"/>
      <c r="U326" s="212"/>
      <c r="V326" s="212"/>
      <c r="W326" s="212"/>
      <c r="X326" s="212"/>
      <c r="Y326" s="212"/>
      <c r="Z326" s="212"/>
      <c r="AA326" s="219"/>
      <c r="AB326" s="216"/>
      <c r="AC326" s="216"/>
      <c r="AD326" s="216"/>
      <c r="AE326" s="216"/>
      <c r="AF326" s="212"/>
      <c r="AG326" s="212"/>
      <c r="AH326" s="212"/>
      <c r="AI326" s="216"/>
      <c r="AJ326" s="216"/>
      <c r="AK326" s="216"/>
      <c r="AL326" s="216"/>
      <c r="AM326" s="216"/>
      <c r="AN326" s="216"/>
      <c r="AO326" s="216"/>
      <c r="AP326" s="217"/>
      <c r="AQ326" s="212"/>
      <c r="AR326" s="212"/>
      <c r="AS326" s="212"/>
      <c r="AT326" s="212"/>
      <c r="AU326" s="212"/>
      <c r="AV326" s="212"/>
      <c r="AW326" s="212"/>
      <c r="AX326" s="212"/>
      <c r="AY326" s="212"/>
      <c r="AZ326" s="212"/>
      <c r="BA326" s="212"/>
      <c r="BB326" s="212"/>
      <c r="BC326" s="212"/>
      <c r="BD326" s="212"/>
      <c r="BE326" s="212"/>
      <c r="BF326" s="216"/>
      <c r="BG326" s="212"/>
    </row>
    <row r="327" spans="1:59" ht="15.75" customHeight="1" x14ac:dyDescent="0.25">
      <c r="A327" s="212"/>
      <c r="B327" s="212"/>
      <c r="C327" s="212"/>
      <c r="D327" s="212"/>
      <c r="E327" s="216"/>
      <c r="F327" s="216"/>
      <c r="G327" s="269"/>
      <c r="H327" s="216"/>
      <c r="I327" s="218"/>
      <c r="J327" s="212"/>
      <c r="K327" s="212"/>
      <c r="L327" s="212"/>
      <c r="M327" s="212"/>
      <c r="N327" s="212"/>
      <c r="O327" s="217"/>
      <c r="P327" s="217"/>
      <c r="Q327" s="212"/>
      <c r="R327" s="212"/>
      <c r="S327" s="217"/>
      <c r="T327" s="217"/>
      <c r="U327" s="212"/>
      <c r="V327" s="212"/>
      <c r="W327" s="212"/>
      <c r="X327" s="212"/>
      <c r="Y327" s="212"/>
      <c r="Z327" s="212"/>
      <c r="AA327" s="219"/>
      <c r="AB327" s="216"/>
      <c r="AC327" s="216"/>
      <c r="AD327" s="216"/>
      <c r="AE327" s="216"/>
      <c r="AF327" s="212"/>
      <c r="AG327" s="212"/>
      <c r="AH327" s="212"/>
      <c r="AI327" s="216"/>
      <c r="AJ327" s="216"/>
      <c r="AK327" s="216"/>
      <c r="AL327" s="216"/>
      <c r="AM327" s="216"/>
      <c r="AN327" s="216"/>
      <c r="AO327" s="216"/>
      <c r="AP327" s="217"/>
      <c r="AQ327" s="212"/>
      <c r="AR327" s="212"/>
      <c r="AS327" s="212"/>
      <c r="AT327" s="212"/>
      <c r="AU327" s="212"/>
      <c r="AV327" s="212"/>
      <c r="AW327" s="212"/>
      <c r="AX327" s="212"/>
      <c r="AY327" s="212"/>
      <c r="AZ327" s="212"/>
      <c r="BA327" s="212"/>
      <c r="BB327" s="212"/>
      <c r="BC327" s="212"/>
      <c r="BD327" s="212"/>
      <c r="BE327" s="212"/>
      <c r="BF327" s="216"/>
      <c r="BG327" s="212"/>
    </row>
    <row r="328" spans="1:59" ht="15.75" customHeight="1" x14ac:dyDescent="0.25">
      <c r="A328" s="212"/>
      <c r="B328" s="212"/>
      <c r="C328" s="212"/>
      <c r="D328" s="212"/>
      <c r="E328" s="216"/>
      <c r="F328" s="216"/>
      <c r="G328" s="269"/>
      <c r="H328" s="216"/>
      <c r="I328" s="218"/>
      <c r="J328" s="212"/>
      <c r="K328" s="212"/>
      <c r="L328" s="212"/>
      <c r="M328" s="212"/>
      <c r="N328" s="212"/>
      <c r="O328" s="217"/>
      <c r="P328" s="217"/>
      <c r="Q328" s="212"/>
      <c r="R328" s="212"/>
      <c r="S328" s="217"/>
      <c r="T328" s="217"/>
      <c r="U328" s="212"/>
      <c r="V328" s="212"/>
      <c r="W328" s="212"/>
      <c r="X328" s="212"/>
      <c r="Y328" s="212"/>
      <c r="Z328" s="212"/>
      <c r="AA328" s="219"/>
      <c r="AB328" s="216"/>
      <c r="AC328" s="216"/>
      <c r="AD328" s="216"/>
      <c r="AE328" s="216"/>
      <c r="AF328" s="212"/>
      <c r="AG328" s="212"/>
      <c r="AH328" s="212"/>
      <c r="AI328" s="216"/>
      <c r="AJ328" s="216"/>
      <c r="AK328" s="216"/>
      <c r="AL328" s="216"/>
      <c r="AM328" s="216"/>
      <c r="AN328" s="216"/>
      <c r="AO328" s="216"/>
      <c r="AP328" s="217"/>
      <c r="AQ328" s="212"/>
      <c r="AR328" s="212"/>
      <c r="AS328" s="212"/>
      <c r="AT328" s="212"/>
      <c r="AU328" s="212"/>
      <c r="AV328" s="212"/>
      <c r="AW328" s="212"/>
      <c r="AX328" s="212"/>
      <c r="AY328" s="212"/>
      <c r="AZ328" s="212"/>
      <c r="BA328" s="212"/>
      <c r="BB328" s="212"/>
      <c r="BC328" s="212"/>
      <c r="BD328" s="212"/>
      <c r="BE328" s="212"/>
      <c r="BF328" s="216"/>
      <c r="BG328" s="212"/>
    </row>
    <row r="329" spans="1:59" ht="15.75" customHeight="1" x14ac:dyDescent="0.25">
      <c r="A329" s="212"/>
      <c r="B329" s="212"/>
      <c r="C329" s="212"/>
      <c r="D329" s="212"/>
      <c r="E329" s="216"/>
      <c r="F329" s="216"/>
      <c r="G329" s="269"/>
      <c r="H329" s="216"/>
      <c r="I329" s="218"/>
      <c r="J329" s="212"/>
      <c r="K329" s="212"/>
      <c r="L329" s="212"/>
      <c r="M329" s="212"/>
      <c r="N329" s="212"/>
      <c r="O329" s="217"/>
      <c r="P329" s="217"/>
      <c r="Q329" s="212"/>
      <c r="R329" s="212"/>
      <c r="S329" s="217"/>
      <c r="T329" s="217"/>
      <c r="U329" s="212"/>
      <c r="V329" s="212"/>
      <c r="W329" s="212"/>
      <c r="X329" s="212"/>
      <c r="Y329" s="212"/>
      <c r="Z329" s="212"/>
      <c r="AA329" s="219"/>
      <c r="AB329" s="216"/>
      <c r="AC329" s="216"/>
      <c r="AD329" s="216"/>
      <c r="AE329" s="216"/>
      <c r="AF329" s="212"/>
      <c r="AG329" s="212"/>
      <c r="AH329" s="212"/>
      <c r="AI329" s="216"/>
      <c r="AJ329" s="216"/>
      <c r="AK329" s="216"/>
      <c r="AL329" s="216"/>
      <c r="AM329" s="216"/>
      <c r="AN329" s="216"/>
      <c r="AO329" s="216"/>
      <c r="AP329" s="217"/>
      <c r="AQ329" s="212"/>
      <c r="AR329" s="212"/>
      <c r="AS329" s="212"/>
      <c r="AT329" s="212"/>
      <c r="AU329" s="212"/>
      <c r="AV329" s="212"/>
      <c r="AW329" s="212"/>
      <c r="AX329" s="212"/>
      <c r="AY329" s="212"/>
      <c r="AZ329" s="212"/>
      <c r="BA329" s="212"/>
      <c r="BB329" s="212"/>
      <c r="BC329" s="212"/>
      <c r="BD329" s="212"/>
      <c r="BE329" s="212"/>
      <c r="BF329" s="216"/>
      <c r="BG329" s="212"/>
    </row>
    <row r="330" spans="1:59" ht="15.75" customHeight="1" x14ac:dyDescent="0.25">
      <c r="A330" s="212"/>
      <c r="B330" s="212"/>
      <c r="C330" s="212"/>
      <c r="D330" s="212"/>
      <c r="E330" s="216"/>
      <c r="F330" s="216"/>
      <c r="G330" s="269"/>
      <c r="H330" s="216"/>
      <c r="I330" s="218"/>
      <c r="J330" s="212"/>
      <c r="K330" s="212"/>
      <c r="L330" s="212"/>
      <c r="M330" s="212"/>
      <c r="N330" s="212"/>
      <c r="O330" s="217"/>
      <c r="P330" s="217"/>
      <c r="Q330" s="212"/>
      <c r="R330" s="212"/>
      <c r="S330" s="217"/>
      <c r="T330" s="217"/>
      <c r="U330" s="212"/>
      <c r="V330" s="212"/>
      <c r="W330" s="212"/>
      <c r="X330" s="212"/>
      <c r="Y330" s="212"/>
      <c r="Z330" s="212"/>
      <c r="AA330" s="219"/>
      <c r="AB330" s="216"/>
      <c r="AC330" s="216"/>
      <c r="AD330" s="216"/>
      <c r="AE330" s="216"/>
      <c r="AF330" s="212"/>
      <c r="AG330" s="212"/>
      <c r="AH330" s="212"/>
      <c r="AI330" s="216"/>
      <c r="AJ330" s="216"/>
      <c r="AK330" s="216"/>
      <c r="AL330" s="216"/>
      <c r="AM330" s="216"/>
      <c r="AN330" s="216"/>
      <c r="AO330" s="216"/>
      <c r="AP330" s="217"/>
      <c r="AQ330" s="212"/>
      <c r="AR330" s="212"/>
      <c r="AS330" s="212"/>
      <c r="AT330" s="212"/>
      <c r="AU330" s="212"/>
      <c r="AV330" s="212"/>
      <c r="AW330" s="212"/>
      <c r="AX330" s="212"/>
      <c r="AY330" s="212"/>
      <c r="AZ330" s="212"/>
      <c r="BA330" s="212"/>
      <c r="BB330" s="212"/>
      <c r="BC330" s="212"/>
      <c r="BD330" s="212"/>
      <c r="BE330" s="212"/>
      <c r="BF330" s="216"/>
      <c r="BG330" s="212"/>
    </row>
    <row r="331" spans="1:59" ht="15.75" customHeight="1" x14ac:dyDescent="0.25">
      <c r="A331" s="212"/>
      <c r="B331" s="212"/>
      <c r="C331" s="212"/>
      <c r="D331" s="212"/>
      <c r="E331" s="216"/>
      <c r="F331" s="216"/>
      <c r="G331" s="269"/>
      <c r="H331" s="216"/>
      <c r="I331" s="218"/>
      <c r="J331" s="212"/>
      <c r="K331" s="212"/>
      <c r="L331" s="212"/>
      <c r="M331" s="212"/>
      <c r="N331" s="212"/>
      <c r="O331" s="217"/>
      <c r="P331" s="217"/>
      <c r="Q331" s="212"/>
      <c r="R331" s="212"/>
      <c r="S331" s="217"/>
      <c r="T331" s="217"/>
      <c r="U331" s="212"/>
      <c r="V331" s="212"/>
      <c r="W331" s="212"/>
      <c r="X331" s="212"/>
      <c r="Y331" s="212"/>
      <c r="Z331" s="212"/>
      <c r="AA331" s="219"/>
      <c r="AB331" s="216"/>
      <c r="AC331" s="216"/>
      <c r="AD331" s="216"/>
      <c r="AE331" s="216"/>
      <c r="AF331" s="212"/>
      <c r="AG331" s="212"/>
      <c r="AH331" s="212"/>
      <c r="AI331" s="216"/>
      <c r="AJ331" s="216"/>
      <c r="AK331" s="216"/>
      <c r="AL331" s="216"/>
      <c r="AM331" s="216"/>
      <c r="AN331" s="216"/>
      <c r="AO331" s="216"/>
      <c r="AP331" s="217"/>
      <c r="AQ331" s="212"/>
      <c r="AR331" s="212"/>
      <c r="AS331" s="212"/>
      <c r="AT331" s="212"/>
      <c r="AU331" s="212"/>
      <c r="AV331" s="212"/>
      <c r="AW331" s="212"/>
      <c r="AX331" s="212"/>
      <c r="AY331" s="212"/>
      <c r="AZ331" s="212"/>
      <c r="BA331" s="212"/>
      <c r="BB331" s="212"/>
      <c r="BC331" s="212"/>
      <c r="BD331" s="212"/>
      <c r="BE331" s="212"/>
      <c r="BF331" s="216"/>
      <c r="BG331" s="212"/>
    </row>
    <row r="332" spans="1:59" ht="15.75" customHeight="1" x14ac:dyDescent="0.25">
      <c r="A332" s="212"/>
      <c r="B332" s="212"/>
      <c r="C332" s="212"/>
      <c r="D332" s="212"/>
      <c r="E332" s="216"/>
      <c r="F332" s="216"/>
      <c r="G332" s="269"/>
      <c r="H332" s="216"/>
      <c r="I332" s="218"/>
      <c r="J332" s="212"/>
      <c r="K332" s="212"/>
      <c r="L332" s="212"/>
      <c r="M332" s="212"/>
      <c r="N332" s="212"/>
      <c r="O332" s="217"/>
      <c r="P332" s="217"/>
      <c r="Q332" s="212"/>
      <c r="R332" s="212"/>
      <c r="S332" s="217"/>
      <c r="T332" s="217"/>
      <c r="U332" s="212"/>
      <c r="V332" s="212"/>
      <c r="W332" s="212"/>
      <c r="X332" s="212"/>
      <c r="Y332" s="212"/>
      <c r="Z332" s="212"/>
      <c r="AA332" s="219"/>
      <c r="AB332" s="216"/>
      <c r="AC332" s="216"/>
      <c r="AD332" s="216"/>
      <c r="AE332" s="216"/>
      <c r="AF332" s="212"/>
      <c r="AG332" s="212"/>
      <c r="AH332" s="212"/>
      <c r="AI332" s="216"/>
      <c r="AJ332" s="216"/>
      <c r="AK332" s="216"/>
      <c r="AL332" s="216"/>
      <c r="AM332" s="216"/>
      <c r="AN332" s="216"/>
      <c r="AO332" s="216"/>
      <c r="AP332" s="217"/>
      <c r="AQ332" s="212"/>
      <c r="AR332" s="212"/>
      <c r="AS332" s="212"/>
      <c r="AT332" s="212"/>
      <c r="AU332" s="212"/>
      <c r="AV332" s="212"/>
      <c r="AW332" s="212"/>
      <c r="AX332" s="212"/>
      <c r="AY332" s="212"/>
      <c r="AZ332" s="212"/>
      <c r="BA332" s="212"/>
      <c r="BB332" s="212"/>
      <c r="BC332" s="212"/>
      <c r="BD332" s="212"/>
      <c r="BE332" s="212"/>
      <c r="BF332" s="216"/>
      <c r="BG332" s="212"/>
    </row>
    <row r="333" spans="1:59" ht="15.75" customHeight="1" x14ac:dyDescent="0.25">
      <c r="A333" s="212"/>
      <c r="B333" s="212"/>
      <c r="C333" s="212"/>
      <c r="D333" s="212"/>
      <c r="E333" s="216"/>
      <c r="F333" s="216"/>
      <c r="G333" s="269"/>
      <c r="H333" s="216"/>
      <c r="I333" s="218"/>
      <c r="J333" s="212"/>
      <c r="K333" s="212"/>
      <c r="L333" s="212"/>
      <c r="M333" s="212"/>
      <c r="N333" s="212"/>
      <c r="O333" s="217"/>
      <c r="P333" s="217"/>
      <c r="Q333" s="212"/>
      <c r="R333" s="212"/>
      <c r="S333" s="217"/>
      <c r="T333" s="217"/>
      <c r="U333" s="212"/>
      <c r="V333" s="212"/>
      <c r="W333" s="212"/>
      <c r="X333" s="212"/>
      <c r="Y333" s="212"/>
      <c r="Z333" s="212"/>
      <c r="AA333" s="219"/>
      <c r="AB333" s="216"/>
      <c r="AC333" s="216"/>
      <c r="AD333" s="216"/>
      <c r="AE333" s="216"/>
      <c r="AF333" s="212"/>
      <c r="AG333" s="212"/>
      <c r="AH333" s="212"/>
      <c r="AI333" s="216"/>
      <c r="AJ333" s="216"/>
      <c r="AK333" s="216"/>
      <c r="AL333" s="216"/>
      <c r="AM333" s="216"/>
      <c r="AN333" s="216"/>
      <c r="AO333" s="216"/>
      <c r="AP333" s="217"/>
      <c r="AQ333" s="212"/>
      <c r="AR333" s="212"/>
      <c r="AS333" s="212"/>
      <c r="AT333" s="212"/>
      <c r="AU333" s="212"/>
      <c r="AV333" s="212"/>
      <c r="AW333" s="212"/>
      <c r="AX333" s="212"/>
      <c r="AY333" s="212"/>
      <c r="AZ333" s="212"/>
      <c r="BA333" s="212"/>
      <c r="BB333" s="212"/>
      <c r="BC333" s="212"/>
      <c r="BD333" s="212"/>
      <c r="BE333" s="212"/>
      <c r="BF333" s="216"/>
      <c r="BG333" s="212"/>
    </row>
    <row r="334" spans="1:59" ht="15.75" customHeight="1" x14ac:dyDescent="0.25">
      <c r="A334" s="212"/>
      <c r="B334" s="212"/>
      <c r="C334" s="212"/>
      <c r="D334" s="212"/>
      <c r="E334" s="216"/>
      <c r="F334" s="216"/>
      <c r="G334" s="269"/>
      <c r="H334" s="216"/>
      <c r="I334" s="218"/>
      <c r="J334" s="212"/>
      <c r="K334" s="212"/>
      <c r="L334" s="212"/>
      <c r="M334" s="212"/>
      <c r="N334" s="212"/>
      <c r="O334" s="217"/>
      <c r="P334" s="217"/>
      <c r="Q334" s="212"/>
      <c r="R334" s="212"/>
      <c r="S334" s="217"/>
      <c r="T334" s="217"/>
      <c r="U334" s="212"/>
      <c r="V334" s="212"/>
      <c r="W334" s="212"/>
      <c r="X334" s="212"/>
      <c r="Y334" s="212"/>
      <c r="Z334" s="212"/>
      <c r="AA334" s="219"/>
      <c r="AB334" s="216"/>
      <c r="AC334" s="216"/>
      <c r="AD334" s="216"/>
      <c r="AE334" s="216"/>
      <c r="AF334" s="212"/>
      <c r="AG334" s="212"/>
      <c r="AH334" s="212"/>
      <c r="AI334" s="216"/>
      <c r="AJ334" s="216"/>
      <c r="AK334" s="216"/>
      <c r="AL334" s="216"/>
      <c r="AM334" s="216"/>
      <c r="AN334" s="216"/>
      <c r="AO334" s="216"/>
      <c r="AP334" s="217"/>
      <c r="AQ334" s="212"/>
      <c r="AR334" s="212"/>
      <c r="AS334" s="212"/>
      <c r="AT334" s="212"/>
      <c r="AU334" s="212"/>
      <c r="AV334" s="212"/>
      <c r="AW334" s="212"/>
      <c r="AX334" s="212"/>
      <c r="AY334" s="212"/>
      <c r="AZ334" s="212"/>
      <c r="BA334" s="212"/>
      <c r="BB334" s="212"/>
      <c r="BC334" s="212"/>
      <c r="BD334" s="212"/>
      <c r="BE334" s="212"/>
      <c r="BF334" s="216"/>
      <c r="BG334" s="212"/>
    </row>
    <row r="335" spans="1:59" ht="15.75" customHeight="1" x14ac:dyDescent="0.25">
      <c r="A335" s="212"/>
      <c r="B335" s="212"/>
      <c r="C335" s="212"/>
      <c r="D335" s="212"/>
      <c r="E335" s="216"/>
      <c r="F335" s="216"/>
      <c r="G335" s="269"/>
      <c r="H335" s="216"/>
      <c r="I335" s="218"/>
      <c r="J335" s="212"/>
      <c r="K335" s="212"/>
      <c r="L335" s="212"/>
      <c r="M335" s="212"/>
      <c r="N335" s="212"/>
      <c r="O335" s="217"/>
      <c r="P335" s="217"/>
      <c r="Q335" s="212"/>
      <c r="R335" s="212"/>
      <c r="S335" s="217"/>
      <c r="T335" s="217"/>
      <c r="U335" s="212"/>
      <c r="V335" s="212"/>
      <c r="W335" s="212"/>
      <c r="X335" s="212"/>
      <c r="Y335" s="212"/>
      <c r="Z335" s="212"/>
      <c r="AA335" s="219"/>
      <c r="AB335" s="216"/>
      <c r="AC335" s="216"/>
      <c r="AD335" s="216"/>
      <c r="AE335" s="216"/>
      <c r="AF335" s="212"/>
      <c r="AG335" s="212"/>
      <c r="AH335" s="212"/>
      <c r="AI335" s="216"/>
      <c r="AJ335" s="216"/>
      <c r="AK335" s="216"/>
      <c r="AL335" s="216"/>
      <c r="AM335" s="216"/>
      <c r="AN335" s="216"/>
      <c r="AO335" s="216"/>
      <c r="AP335" s="217"/>
      <c r="AQ335" s="212"/>
      <c r="AR335" s="212"/>
      <c r="AS335" s="212"/>
      <c r="AT335" s="212"/>
      <c r="AU335" s="212"/>
      <c r="AV335" s="212"/>
      <c r="AW335" s="212"/>
      <c r="AX335" s="212"/>
      <c r="AY335" s="212"/>
      <c r="AZ335" s="212"/>
      <c r="BA335" s="212"/>
      <c r="BB335" s="212"/>
      <c r="BC335" s="212"/>
      <c r="BD335" s="212"/>
      <c r="BE335" s="212"/>
      <c r="BF335" s="216"/>
      <c r="BG335" s="212"/>
    </row>
    <row r="336" spans="1:59" ht="15.75" customHeight="1" x14ac:dyDescent="0.25">
      <c r="AI336" s="72"/>
      <c r="AJ336" s="72"/>
      <c r="AK336" s="72"/>
      <c r="AL336" s="72"/>
      <c r="AM336" s="72"/>
      <c r="AN336" s="72"/>
      <c r="AO336" s="72"/>
    </row>
    <row r="337" spans="35:41" ht="15.75" customHeight="1" x14ac:dyDescent="0.25">
      <c r="AI337" s="72"/>
      <c r="AJ337" s="72"/>
      <c r="AK337" s="72"/>
      <c r="AL337" s="72"/>
      <c r="AM337" s="72"/>
      <c r="AN337" s="72"/>
      <c r="AO337" s="72"/>
    </row>
    <row r="338" spans="35:41" ht="15.75" customHeight="1" x14ac:dyDescent="0.25">
      <c r="AI338" s="72"/>
      <c r="AJ338" s="72"/>
      <c r="AK338" s="72"/>
      <c r="AL338" s="72"/>
      <c r="AM338" s="72"/>
      <c r="AN338" s="72"/>
      <c r="AO338" s="72"/>
    </row>
    <row r="339" spans="35:41" ht="15.75" customHeight="1" x14ac:dyDescent="0.25">
      <c r="AI339" s="72"/>
      <c r="AJ339" s="72"/>
      <c r="AK339" s="72"/>
      <c r="AL339" s="72"/>
      <c r="AM339" s="72"/>
      <c r="AN339" s="72"/>
      <c r="AO339" s="72"/>
    </row>
    <row r="340" spans="35:41" ht="15.75" customHeight="1" x14ac:dyDescent="0.25">
      <c r="AI340" s="72"/>
      <c r="AJ340" s="72"/>
      <c r="AK340" s="72"/>
      <c r="AL340" s="72"/>
      <c r="AM340" s="72"/>
      <c r="AN340" s="72"/>
      <c r="AO340" s="72"/>
    </row>
    <row r="341" spans="35:41" ht="15.75" customHeight="1" x14ac:dyDescent="0.25">
      <c r="AI341" s="72"/>
      <c r="AJ341" s="72"/>
      <c r="AK341" s="72"/>
      <c r="AL341" s="72"/>
      <c r="AM341" s="72"/>
      <c r="AN341" s="72"/>
      <c r="AO341" s="72"/>
    </row>
    <row r="342" spans="35:41" ht="15.75" customHeight="1" x14ac:dyDescent="0.25">
      <c r="AI342" s="72"/>
      <c r="AJ342" s="72"/>
      <c r="AK342" s="72"/>
      <c r="AL342" s="72"/>
      <c r="AM342" s="72"/>
      <c r="AN342" s="72"/>
      <c r="AO342" s="72"/>
    </row>
    <row r="343" spans="35:41" ht="15.75" customHeight="1" x14ac:dyDescent="0.25">
      <c r="AI343" s="72"/>
      <c r="AJ343" s="72"/>
      <c r="AK343" s="72"/>
      <c r="AL343" s="72"/>
      <c r="AM343" s="72"/>
      <c r="AN343" s="72"/>
      <c r="AO343" s="72"/>
    </row>
    <row r="344" spans="35:41" ht="15.75" customHeight="1" x14ac:dyDescent="0.25">
      <c r="AI344" s="72"/>
      <c r="AJ344" s="72"/>
      <c r="AK344" s="72"/>
      <c r="AL344" s="72"/>
      <c r="AM344" s="72"/>
      <c r="AN344" s="72"/>
      <c r="AO344" s="72"/>
    </row>
    <row r="345" spans="35:41" ht="15.75" customHeight="1" x14ac:dyDescent="0.25">
      <c r="AI345" s="72"/>
      <c r="AJ345" s="72"/>
      <c r="AK345" s="72"/>
      <c r="AL345" s="72"/>
      <c r="AM345" s="72"/>
      <c r="AN345" s="72"/>
      <c r="AO345" s="72"/>
    </row>
    <row r="346" spans="35:41" ht="15.75" customHeight="1" x14ac:dyDescent="0.25">
      <c r="AI346" s="72"/>
      <c r="AJ346" s="72"/>
      <c r="AK346" s="72"/>
      <c r="AL346" s="72"/>
      <c r="AM346" s="72"/>
      <c r="AN346" s="72"/>
      <c r="AO346" s="72"/>
    </row>
    <row r="347" spans="35:41" ht="15.75" customHeight="1" x14ac:dyDescent="0.25">
      <c r="AI347" s="72"/>
      <c r="AJ347" s="72"/>
      <c r="AK347" s="72"/>
      <c r="AL347" s="72"/>
      <c r="AM347" s="72"/>
      <c r="AN347" s="72"/>
      <c r="AO347" s="72"/>
    </row>
    <row r="348" spans="35:41" ht="15.75" customHeight="1" x14ac:dyDescent="0.25">
      <c r="AI348" s="72"/>
      <c r="AJ348" s="72"/>
      <c r="AK348" s="72"/>
      <c r="AL348" s="72"/>
      <c r="AM348" s="72"/>
      <c r="AN348" s="72"/>
      <c r="AO348" s="72"/>
    </row>
    <row r="349" spans="35:41" ht="15.75" customHeight="1" x14ac:dyDescent="0.25">
      <c r="AI349" s="72"/>
      <c r="AJ349" s="72"/>
      <c r="AK349" s="72"/>
      <c r="AL349" s="72"/>
      <c r="AM349" s="72"/>
      <c r="AN349" s="72"/>
      <c r="AO349" s="72"/>
    </row>
    <row r="350" spans="35:41" ht="15.75" customHeight="1" x14ac:dyDescent="0.25">
      <c r="AI350" s="72"/>
      <c r="AJ350" s="72"/>
      <c r="AK350" s="72"/>
      <c r="AL350" s="72"/>
      <c r="AM350" s="72"/>
      <c r="AN350" s="72"/>
      <c r="AO350" s="72"/>
    </row>
    <row r="351" spans="35:41" ht="15.75" customHeight="1" x14ac:dyDescent="0.25">
      <c r="AI351" s="72"/>
      <c r="AJ351" s="72"/>
      <c r="AK351" s="72"/>
      <c r="AL351" s="72"/>
      <c r="AM351" s="72"/>
      <c r="AN351" s="72"/>
      <c r="AO351" s="72"/>
    </row>
    <row r="352" spans="35:41" ht="15.75" customHeight="1" x14ac:dyDescent="0.25">
      <c r="AI352" s="72"/>
      <c r="AJ352" s="72"/>
      <c r="AK352" s="72"/>
      <c r="AL352" s="72"/>
      <c r="AM352" s="72"/>
      <c r="AN352" s="72"/>
      <c r="AO352" s="72"/>
    </row>
    <row r="353" spans="35:41" ht="15.75" customHeight="1" x14ac:dyDescent="0.25">
      <c r="AI353" s="72"/>
      <c r="AJ353" s="72"/>
      <c r="AK353" s="72"/>
      <c r="AL353" s="72"/>
      <c r="AM353" s="72"/>
      <c r="AN353" s="72"/>
      <c r="AO353" s="72"/>
    </row>
    <row r="354" spans="35:41" ht="15.75" customHeight="1" x14ac:dyDescent="0.25">
      <c r="AI354" s="72"/>
      <c r="AJ354" s="72"/>
      <c r="AK354" s="72"/>
      <c r="AL354" s="72"/>
      <c r="AM354" s="72"/>
      <c r="AN354" s="72"/>
      <c r="AO354" s="72"/>
    </row>
    <row r="355" spans="35:41" ht="15.75" customHeight="1" x14ac:dyDescent="0.25">
      <c r="AI355" s="72"/>
      <c r="AJ355" s="72"/>
      <c r="AK355" s="72"/>
      <c r="AL355" s="72"/>
      <c r="AM355" s="72"/>
      <c r="AN355" s="72"/>
      <c r="AO355" s="72"/>
    </row>
    <row r="356" spans="35:41" ht="15.75" customHeight="1" x14ac:dyDescent="0.25">
      <c r="AI356" s="72"/>
      <c r="AJ356" s="72"/>
      <c r="AK356" s="72"/>
      <c r="AL356" s="72"/>
      <c r="AM356" s="72"/>
      <c r="AN356" s="72"/>
      <c r="AO356" s="72"/>
    </row>
    <row r="357" spans="35:41" ht="15.75" customHeight="1" x14ac:dyDescent="0.25">
      <c r="AI357" s="72"/>
      <c r="AJ357" s="72"/>
      <c r="AK357" s="72"/>
      <c r="AL357" s="72"/>
      <c r="AM357" s="72"/>
      <c r="AN357" s="72"/>
      <c r="AO357" s="72"/>
    </row>
    <row r="358" spans="35:41" ht="15.75" customHeight="1" x14ac:dyDescent="0.25">
      <c r="AI358" s="72"/>
      <c r="AJ358" s="72"/>
      <c r="AK358" s="72"/>
      <c r="AL358" s="72"/>
      <c r="AM358" s="72"/>
      <c r="AN358" s="72"/>
      <c r="AO358" s="72"/>
    </row>
    <row r="359" spans="35:41" ht="15.75" customHeight="1" x14ac:dyDescent="0.25">
      <c r="AI359" s="72"/>
      <c r="AJ359" s="72"/>
      <c r="AK359" s="72"/>
      <c r="AL359" s="72"/>
      <c r="AM359" s="72"/>
      <c r="AN359" s="72"/>
      <c r="AO359" s="72"/>
    </row>
    <row r="360" spans="35:41" ht="15.75" customHeight="1" x14ac:dyDescent="0.25">
      <c r="AI360" s="72"/>
      <c r="AJ360" s="72"/>
      <c r="AK360" s="72"/>
      <c r="AL360" s="72"/>
      <c r="AM360" s="72"/>
      <c r="AN360" s="72"/>
      <c r="AO360" s="72"/>
    </row>
    <row r="361" spans="35:41" ht="15.75" customHeight="1" x14ac:dyDescent="0.25">
      <c r="AI361" s="72"/>
      <c r="AJ361" s="72"/>
      <c r="AK361" s="72"/>
      <c r="AL361" s="72"/>
      <c r="AM361" s="72"/>
      <c r="AN361" s="72"/>
      <c r="AO361" s="72"/>
    </row>
    <row r="362" spans="35:41" ht="15.75" customHeight="1" x14ac:dyDescent="0.25">
      <c r="AI362" s="72"/>
      <c r="AJ362" s="72"/>
      <c r="AK362" s="72"/>
      <c r="AL362" s="72"/>
      <c r="AM362" s="72"/>
      <c r="AN362" s="72"/>
      <c r="AO362" s="72"/>
    </row>
    <row r="363" spans="35:41" ht="15.75" customHeight="1" x14ac:dyDescent="0.25">
      <c r="AI363" s="72"/>
      <c r="AJ363" s="72"/>
      <c r="AK363" s="72"/>
      <c r="AL363" s="72"/>
      <c r="AM363" s="72"/>
      <c r="AN363" s="72"/>
      <c r="AO363" s="72"/>
    </row>
    <row r="364" spans="35:41" ht="15.75" customHeight="1" x14ac:dyDescent="0.25">
      <c r="AI364" s="72"/>
      <c r="AJ364" s="72"/>
      <c r="AK364" s="72"/>
      <c r="AL364" s="72"/>
      <c r="AM364" s="72"/>
      <c r="AN364" s="72"/>
      <c r="AO364" s="72"/>
    </row>
    <row r="365" spans="35:41" ht="15.75" customHeight="1" x14ac:dyDescent="0.25">
      <c r="AI365" s="72"/>
      <c r="AJ365" s="72"/>
      <c r="AK365" s="72"/>
      <c r="AL365" s="72"/>
      <c r="AM365" s="72"/>
      <c r="AN365" s="72"/>
      <c r="AO365" s="72"/>
    </row>
    <row r="366" spans="35:41" ht="15.75" customHeight="1" x14ac:dyDescent="0.25">
      <c r="AI366" s="72"/>
      <c r="AJ366" s="72"/>
      <c r="AK366" s="72"/>
      <c r="AL366" s="72"/>
      <c r="AM366" s="72"/>
      <c r="AN366" s="72"/>
      <c r="AO366" s="72"/>
    </row>
    <row r="367" spans="35:41" ht="15.75" customHeight="1" x14ac:dyDescent="0.25">
      <c r="AI367" s="72"/>
      <c r="AJ367" s="72"/>
      <c r="AK367" s="72"/>
      <c r="AL367" s="72"/>
      <c r="AM367" s="72"/>
      <c r="AN367" s="72"/>
      <c r="AO367" s="72"/>
    </row>
    <row r="368" spans="35:41" ht="15.75" customHeight="1" x14ac:dyDescent="0.25">
      <c r="AI368" s="72"/>
      <c r="AJ368" s="72"/>
      <c r="AK368" s="72"/>
      <c r="AL368" s="72"/>
      <c r="AM368" s="72"/>
      <c r="AN368" s="72"/>
      <c r="AO368" s="72"/>
    </row>
    <row r="369" spans="35:41" ht="15.75" customHeight="1" x14ac:dyDescent="0.25">
      <c r="AI369" s="72"/>
      <c r="AJ369" s="72"/>
      <c r="AK369" s="72"/>
      <c r="AL369" s="72"/>
      <c r="AM369" s="72"/>
      <c r="AN369" s="72"/>
      <c r="AO369" s="72"/>
    </row>
    <row r="370" spans="35:41" ht="15.75" customHeight="1" x14ac:dyDescent="0.25">
      <c r="AI370" s="72"/>
      <c r="AJ370" s="72"/>
      <c r="AK370" s="72"/>
      <c r="AL370" s="72"/>
      <c r="AM370" s="72"/>
      <c r="AN370" s="72"/>
      <c r="AO370" s="72"/>
    </row>
    <row r="371" spans="35:41" ht="15.75" customHeight="1" x14ac:dyDescent="0.25">
      <c r="AI371" s="72"/>
      <c r="AJ371" s="72"/>
      <c r="AK371" s="72"/>
      <c r="AL371" s="72"/>
      <c r="AM371" s="72"/>
      <c r="AN371" s="72"/>
      <c r="AO371" s="72"/>
    </row>
    <row r="372" spans="35:41" ht="15.75" customHeight="1" x14ac:dyDescent="0.25">
      <c r="AI372" s="72"/>
      <c r="AJ372" s="72"/>
      <c r="AK372" s="72"/>
      <c r="AL372" s="72"/>
      <c r="AM372" s="72"/>
      <c r="AN372" s="72"/>
      <c r="AO372" s="72"/>
    </row>
    <row r="373" spans="35:41" ht="15.75" customHeight="1" x14ac:dyDescent="0.25">
      <c r="AI373" s="72"/>
      <c r="AJ373" s="72"/>
      <c r="AK373" s="72"/>
      <c r="AL373" s="72"/>
      <c r="AM373" s="72"/>
      <c r="AN373" s="72"/>
      <c r="AO373" s="72"/>
    </row>
    <row r="374" spans="35:41" ht="15.75" customHeight="1" x14ac:dyDescent="0.25">
      <c r="AI374" s="72"/>
      <c r="AJ374" s="72"/>
      <c r="AK374" s="72"/>
      <c r="AL374" s="72"/>
      <c r="AM374" s="72"/>
      <c r="AN374" s="72"/>
      <c r="AO374" s="72"/>
    </row>
    <row r="375" spans="35:41" ht="15.75" customHeight="1" x14ac:dyDescent="0.25">
      <c r="AI375" s="72"/>
      <c r="AJ375" s="72"/>
      <c r="AK375" s="72"/>
      <c r="AL375" s="72"/>
      <c r="AM375" s="72"/>
      <c r="AN375" s="72"/>
      <c r="AO375" s="72"/>
    </row>
    <row r="376" spans="35:41" ht="15.75" customHeight="1" x14ac:dyDescent="0.25">
      <c r="AI376" s="72"/>
      <c r="AJ376" s="72"/>
      <c r="AK376" s="72"/>
      <c r="AL376" s="72"/>
      <c r="AM376" s="72"/>
      <c r="AN376" s="72"/>
      <c r="AO376" s="72"/>
    </row>
    <row r="377" spans="35:41" ht="15.75" customHeight="1" x14ac:dyDescent="0.25">
      <c r="AI377" s="72"/>
      <c r="AJ377" s="72"/>
      <c r="AK377" s="72"/>
      <c r="AL377" s="72"/>
      <c r="AM377" s="72"/>
      <c r="AN377" s="72"/>
      <c r="AO377" s="72"/>
    </row>
    <row r="378" spans="35:41" ht="15.75" customHeight="1" x14ac:dyDescent="0.25">
      <c r="AI378" s="72"/>
      <c r="AJ378" s="72"/>
      <c r="AK378" s="72"/>
      <c r="AL378" s="72"/>
      <c r="AM378" s="72"/>
      <c r="AN378" s="72"/>
      <c r="AO378" s="72"/>
    </row>
    <row r="379" spans="35:41" ht="15.75" customHeight="1" x14ac:dyDescent="0.25">
      <c r="AI379" s="72"/>
      <c r="AJ379" s="72"/>
      <c r="AK379" s="72"/>
      <c r="AL379" s="72"/>
      <c r="AM379" s="72"/>
      <c r="AN379" s="72"/>
      <c r="AO379" s="72"/>
    </row>
    <row r="380" spans="35:41" ht="15.75" customHeight="1" x14ac:dyDescent="0.25">
      <c r="AI380" s="72"/>
      <c r="AJ380" s="72"/>
      <c r="AK380" s="72"/>
      <c r="AL380" s="72"/>
      <c r="AM380" s="72"/>
      <c r="AN380" s="72"/>
      <c r="AO380" s="72"/>
    </row>
    <row r="381" spans="35:41" ht="15.75" customHeight="1" x14ac:dyDescent="0.25">
      <c r="AI381" s="72"/>
      <c r="AJ381" s="72"/>
      <c r="AK381" s="72"/>
      <c r="AL381" s="72"/>
      <c r="AM381" s="72"/>
      <c r="AN381" s="72"/>
      <c r="AO381" s="72"/>
    </row>
    <row r="382" spans="35:41" ht="15.75" customHeight="1" x14ac:dyDescent="0.25">
      <c r="AI382" s="72"/>
      <c r="AJ382" s="72"/>
      <c r="AK382" s="72"/>
      <c r="AL382" s="72"/>
      <c r="AM382" s="72"/>
      <c r="AN382" s="72"/>
      <c r="AO382" s="72"/>
    </row>
    <row r="383" spans="35:41" ht="15.75" customHeight="1" x14ac:dyDescent="0.25">
      <c r="AI383" s="72"/>
      <c r="AJ383" s="72"/>
      <c r="AK383" s="72"/>
      <c r="AL383" s="72"/>
      <c r="AM383" s="72"/>
      <c r="AN383" s="72"/>
      <c r="AO383" s="72"/>
    </row>
    <row r="384" spans="35:41" ht="15.75" customHeight="1" x14ac:dyDescent="0.25">
      <c r="AI384" s="72"/>
      <c r="AJ384" s="72"/>
      <c r="AK384" s="72"/>
      <c r="AL384" s="72"/>
      <c r="AM384" s="72"/>
      <c r="AN384" s="72"/>
      <c r="AO384" s="72"/>
    </row>
    <row r="385" spans="35:41" ht="15.75" customHeight="1" x14ac:dyDescent="0.25">
      <c r="AI385" s="72"/>
      <c r="AJ385" s="72"/>
      <c r="AK385" s="72"/>
      <c r="AL385" s="72"/>
      <c r="AM385" s="72"/>
      <c r="AN385" s="72"/>
      <c r="AO385" s="72"/>
    </row>
    <row r="386" spans="35:41" ht="15.75" customHeight="1" x14ac:dyDescent="0.25">
      <c r="AI386" s="72"/>
      <c r="AJ386" s="72"/>
      <c r="AK386" s="72"/>
      <c r="AL386" s="72"/>
      <c r="AM386" s="72"/>
      <c r="AN386" s="72"/>
      <c r="AO386" s="72"/>
    </row>
    <row r="387" spans="35:41" ht="15.75" customHeight="1" x14ac:dyDescent="0.25">
      <c r="AI387" s="72"/>
      <c r="AJ387" s="72"/>
      <c r="AK387" s="72"/>
      <c r="AL387" s="72"/>
      <c r="AM387" s="72"/>
      <c r="AN387" s="72"/>
      <c r="AO387" s="72"/>
    </row>
    <row r="388" spans="35:41" ht="15.75" customHeight="1" x14ac:dyDescent="0.25">
      <c r="AI388" s="72"/>
      <c r="AJ388" s="72"/>
      <c r="AK388" s="72"/>
      <c r="AL388" s="72"/>
      <c r="AM388" s="72"/>
      <c r="AN388" s="72"/>
      <c r="AO388" s="72"/>
    </row>
    <row r="389" spans="35:41" ht="15.75" customHeight="1" x14ac:dyDescent="0.25">
      <c r="AI389" s="72"/>
      <c r="AJ389" s="72"/>
      <c r="AK389" s="72"/>
      <c r="AL389" s="72"/>
      <c r="AM389" s="72"/>
      <c r="AN389" s="72"/>
      <c r="AO389" s="72"/>
    </row>
    <row r="390" spans="35:41" ht="15.75" customHeight="1" x14ac:dyDescent="0.25">
      <c r="AI390" s="72"/>
      <c r="AJ390" s="72"/>
      <c r="AK390" s="72"/>
      <c r="AL390" s="72"/>
      <c r="AM390" s="72"/>
      <c r="AN390" s="72"/>
      <c r="AO390" s="72"/>
    </row>
    <row r="391" spans="35:41" ht="15.75" customHeight="1" x14ac:dyDescent="0.25">
      <c r="AI391" s="72"/>
      <c r="AJ391" s="72"/>
      <c r="AK391" s="72"/>
      <c r="AL391" s="72"/>
      <c r="AM391" s="72"/>
      <c r="AN391" s="72"/>
      <c r="AO391" s="72"/>
    </row>
    <row r="392" spans="35:41" ht="15.75" customHeight="1" x14ac:dyDescent="0.25">
      <c r="AI392" s="72"/>
      <c r="AJ392" s="72"/>
      <c r="AK392" s="72"/>
      <c r="AL392" s="72"/>
      <c r="AM392" s="72"/>
      <c r="AN392" s="72"/>
      <c r="AO392" s="72"/>
    </row>
    <row r="393" spans="35:41" ht="15.75" customHeight="1" x14ac:dyDescent="0.25">
      <c r="AI393" s="72"/>
      <c r="AJ393" s="72"/>
      <c r="AK393" s="72"/>
      <c r="AL393" s="72"/>
      <c r="AM393" s="72"/>
      <c r="AN393" s="72"/>
      <c r="AO393" s="72"/>
    </row>
    <row r="394" spans="35:41" ht="15.75" customHeight="1" x14ac:dyDescent="0.25">
      <c r="AI394" s="72"/>
      <c r="AJ394" s="72"/>
      <c r="AK394" s="72"/>
      <c r="AL394" s="72"/>
      <c r="AM394" s="72"/>
      <c r="AN394" s="72"/>
      <c r="AO394" s="72"/>
    </row>
    <row r="395" spans="35:41" ht="15.75" customHeight="1" x14ac:dyDescent="0.25">
      <c r="AI395" s="72"/>
      <c r="AJ395" s="72"/>
      <c r="AK395" s="72"/>
      <c r="AL395" s="72"/>
      <c r="AM395" s="72"/>
      <c r="AN395" s="72"/>
      <c r="AO395" s="72"/>
    </row>
    <row r="396" spans="35:41" ht="15.75" customHeight="1" x14ac:dyDescent="0.25">
      <c r="AI396" s="72"/>
      <c r="AJ396" s="72"/>
      <c r="AK396" s="72"/>
      <c r="AL396" s="72"/>
      <c r="AM396" s="72"/>
      <c r="AN396" s="72"/>
      <c r="AO396" s="72"/>
    </row>
    <row r="397" spans="35:41" ht="15.75" customHeight="1" x14ac:dyDescent="0.25">
      <c r="AI397" s="72"/>
      <c r="AJ397" s="72"/>
      <c r="AK397" s="72"/>
      <c r="AL397" s="72"/>
      <c r="AM397" s="72"/>
      <c r="AN397" s="72"/>
      <c r="AO397" s="72"/>
    </row>
    <row r="398" spans="35:41" ht="15.75" customHeight="1" x14ac:dyDescent="0.25">
      <c r="AI398" s="72"/>
      <c r="AJ398" s="72"/>
      <c r="AK398" s="72"/>
      <c r="AL398" s="72"/>
      <c r="AM398" s="72"/>
      <c r="AN398" s="72"/>
      <c r="AO398" s="72"/>
    </row>
    <row r="399" spans="35:41" ht="15.75" customHeight="1" x14ac:dyDescent="0.25">
      <c r="AI399" s="72"/>
      <c r="AJ399" s="72"/>
      <c r="AK399" s="72"/>
      <c r="AL399" s="72"/>
      <c r="AM399" s="72"/>
      <c r="AN399" s="72"/>
      <c r="AO399" s="72"/>
    </row>
    <row r="400" spans="35:41" ht="15.75" customHeight="1" x14ac:dyDescent="0.25">
      <c r="AI400" s="72"/>
      <c r="AJ400" s="72"/>
      <c r="AK400" s="72"/>
      <c r="AL400" s="72"/>
      <c r="AM400" s="72"/>
      <c r="AN400" s="72"/>
      <c r="AO400" s="72"/>
    </row>
    <row r="401" spans="35:41" ht="15.75" customHeight="1" x14ac:dyDescent="0.25">
      <c r="AI401" s="72"/>
      <c r="AJ401" s="72"/>
      <c r="AK401" s="72"/>
      <c r="AL401" s="72"/>
      <c r="AM401" s="72"/>
      <c r="AN401" s="72"/>
      <c r="AO401" s="72"/>
    </row>
    <row r="402" spans="35:41" ht="15.75" customHeight="1" x14ac:dyDescent="0.25">
      <c r="AI402" s="72"/>
      <c r="AJ402" s="72"/>
      <c r="AK402" s="72"/>
      <c r="AL402" s="72"/>
      <c r="AM402" s="72"/>
      <c r="AN402" s="72"/>
      <c r="AO402" s="72"/>
    </row>
    <row r="403" spans="35:41" ht="15.75" customHeight="1" x14ac:dyDescent="0.25">
      <c r="AI403" s="72"/>
      <c r="AJ403" s="72"/>
      <c r="AK403" s="72"/>
      <c r="AL403" s="72"/>
      <c r="AM403" s="72"/>
      <c r="AN403" s="72"/>
      <c r="AO403" s="72"/>
    </row>
    <row r="404" spans="35:41" ht="15.75" customHeight="1" x14ac:dyDescent="0.25">
      <c r="AI404" s="72"/>
      <c r="AJ404" s="72"/>
      <c r="AK404" s="72"/>
      <c r="AL404" s="72"/>
      <c r="AM404" s="72"/>
      <c r="AN404" s="72"/>
      <c r="AO404" s="72"/>
    </row>
    <row r="405" spans="35:41" ht="15.75" customHeight="1" x14ac:dyDescent="0.25">
      <c r="AI405" s="72"/>
      <c r="AJ405" s="72"/>
      <c r="AK405" s="72"/>
      <c r="AL405" s="72"/>
      <c r="AM405" s="72"/>
      <c r="AN405" s="72"/>
      <c r="AO405" s="72"/>
    </row>
    <row r="406" spans="35:41" ht="15.75" customHeight="1" x14ac:dyDescent="0.25">
      <c r="AI406" s="72"/>
      <c r="AJ406" s="72"/>
      <c r="AK406" s="72"/>
      <c r="AL406" s="72"/>
      <c r="AM406" s="72"/>
      <c r="AN406" s="72"/>
      <c r="AO406" s="72"/>
    </row>
    <row r="407" spans="35:41" ht="15.75" customHeight="1" x14ac:dyDescent="0.25">
      <c r="AI407" s="72"/>
      <c r="AJ407" s="72"/>
      <c r="AK407" s="72"/>
      <c r="AL407" s="72"/>
      <c r="AM407" s="72"/>
      <c r="AN407" s="72"/>
      <c r="AO407" s="72"/>
    </row>
    <row r="408" spans="35:41" ht="15.75" customHeight="1" x14ac:dyDescent="0.25">
      <c r="AI408" s="72"/>
      <c r="AJ408" s="72"/>
      <c r="AK408" s="72"/>
      <c r="AL408" s="72"/>
      <c r="AM408" s="72"/>
      <c r="AN408" s="72"/>
      <c r="AO408" s="72"/>
    </row>
    <row r="409" spans="35:41" ht="15.75" customHeight="1" x14ac:dyDescent="0.25">
      <c r="AI409" s="72"/>
      <c r="AJ409" s="72"/>
      <c r="AK409" s="72"/>
      <c r="AL409" s="72"/>
      <c r="AM409" s="72"/>
      <c r="AN409" s="72"/>
      <c r="AO409" s="72"/>
    </row>
    <row r="410" spans="35:41" ht="15.75" customHeight="1" x14ac:dyDescent="0.25">
      <c r="AI410" s="72"/>
      <c r="AJ410" s="72"/>
      <c r="AK410" s="72"/>
      <c r="AL410" s="72"/>
      <c r="AM410" s="72"/>
      <c r="AN410" s="72"/>
      <c r="AO410" s="72"/>
    </row>
    <row r="411" spans="35:41" ht="15.75" customHeight="1" x14ac:dyDescent="0.25">
      <c r="AI411" s="72"/>
      <c r="AJ411" s="72"/>
      <c r="AK411" s="72"/>
      <c r="AL411" s="72"/>
      <c r="AM411" s="72"/>
      <c r="AN411" s="72"/>
      <c r="AO411" s="72"/>
    </row>
    <row r="412" spans="35:41" ht="15.75" customHeight="1" x14ac:dyDescent="0.25">
      <c r="AI412" s="72"/>
      <c r="AJ412" s="72"/>
      <c r="AK412" s="72"/>
      <c r="AL412" s="72"/>
      <c r="AM412" s="72"/>
      <c r="AN412" s="72"/>
      <c r="AO412" s="72"/>
    </row>
    <row r="413" spans="35:41" ht="15.75" customHeight="1" x14ac:dyDescent="0.25">
      <c r="AI413" s="72"/>
      <c r="AJ413" s="72"/>
      <c r="AK413" s="72"/>
      <c r="AL413" s="72"/>
      <c r="AM413" s="72"/>
      <c r="AN413" s="72"/>
      <c r="AO413" s="72"/>
    </row>
    <row r="414" spans="35:41" ht="15.75" customHeight="1" x14ac:dyDescent="0.25">
      <c r="AI414" s="72"/>
      <c r="AJ414" s="72"/>
      <c r="AK414" s="72"/>
      <c r="AL414" s="72"/>
      <c r="AM414" s="72"/>
      <c r="AN414" s="72"/>
      <c r="AO414" s="72"/>
    </row>
    <row r="415" spans="35:41" ht="15.75" customHeight="1" x14ac:dyDescent="0.25">
      <c r="AI415" s="72"/>
      <c r="AJ415" s="72"/>
      <c r="AK415" s="72"/>
      <c r="AL415" s="72"/>
      <c r="AM415" s="72"/>
      <c r="AN415" s="72"/>
      <c r="AO415" s="72"/>
    </row>
    <row r="416" spans="35:41" ht="15.75" customHeight="1" x14ac:dyDescent="0.25">
      <c r="AI416" s="72"/>
      <c r="AJ416" s="72"/>
      <c r="AK416" s="72"/>
      <c r="AL416" s="72"/>
      <c r="AM416" s="72"/>
      <c r="AN416" s="72"/>
      <c r="AO416" s="72"/>
    </row>
    <row r="417" spans="35:41" ht="15.75" customHeight="1" x14ac:dyDescent="0.25">
      <c r="AI417" s="72"/>
      <c r="AJ417" s="72"/>
      <c r="AK417" s="72"/>
      <c r="AL417" s="72"/>
      <c r="AM417" s="72"/>
      <c r="AN417" s="72"/>
      <c r="AO417" s="72"/>
    </row>
    <row r="418" spans="35:41" ht="15.75" customHeight="1" x14ac:dyDescent="0.25">
      <c r="AI418" s="72"/>
      <c r="AJ418" s="72"/>
      <c r="AK418" s="72"/>
      <c r="AL418" s="72"/>
      <c r="AM418" s="72"/>
      <c r="AN418" s="72"/>
      <c r="AO418" s="72"/>
    </row>
    <row r="419" spans="35:41" ht="15.75" customHeight="1" x14ac:dyDescent="0.25">
      <c r="AI419" s="72"/>
      <c r="AJ419" s="72"/>
      <c r="AK419" s="72"/>
      <c r="AL419" s="72"/>
      <c r="AM419" s="72"/>
      <c r="AN419" s="72"/>
      <c r="AO419" s="72"/>
    </row>
    <row r="420" spans="35:41" ht="15.75" customHeight="1" x14ac:dyDescent="0.25">
      <c r="AI420" s="72"/>
      <c r="AJ420" s="72"/>
      <c r="AK420" s="72"/>
      <c r="AL420" s="72"/>
      <c r="AM420" s="72"/>
      <c r="AN420" s="72"/>
      <c r="AO420" s="72"/>
    </row>
    <row r="421" spans="35:41" ht="15.75" customHeight="1" x14ac:dyDescent="0.25">
      <c r="AI421" s="72"/>
      <c r="AJ421" s="72"/>
      <c r="AK421" s="72"/>
      <c r="AL421" s="72"/>
      <c r="AM421" s="72"/>
      <c r="AN421" s="72"/>
      <c r="AO421" s="72"/>
    </row>
    <row r="422" spans="35:41" ht="15.75" customHeight="1" x14ac:dyDescent="0.25">
      <c r="AI422" s="72"/>
      <c r="AJ422" s="72"/>
      <c r="AK422" s="72"/>
      <c r="AL422" s="72"/>
      <c r="AM422" s="72"/>
      <c r="AN422" s="72"/>
      <c r="AO422" s="72"/>
    </row>
    <row r="423" spans="35:41" ht="15.75" customHeight="1" x14ac:dyDescent="0.25">
      <c r="AI423" s="72"/>
      <c r="AJ423" s="72"/>
      <c r="AK423" s="72"/>
      <c r="AL423" s="72"/>
      <c r="AM423" s="72"/>
      <c r="AN423" s="72"/>
      <c r="AO423" s="72"/>
    </row>
    <row r="424" spans="35:41" ht="15.75" customHeight="1" x14ac:dyDescent="0.25">
      <c r="AI424" s="72"/>
      <c r="AJ424" s="72"/>
      <c r="AK424" s="72"/>
      <c r="AL424" s="72"/>
      <c r="AM424" s="72"/>
      <c r="AN424" s="72"/>
      <c r="AO424" s="72"/>
    </row>
    <row r="425" spans="35:41" ht="15.75" customHeight="1" x14ac:dyDescent="0.25">
      <c r="AI425" s="72"/>
      <c r="AJ425" s="72"/>
      <c r="AK425" s="72"/>
      <c r="AL425" s="72"/>
      <c r="AM425" s="72"/>
      <c r="AN425" s="72"/>
      <c r="AO425" s="72"/>
    </row>
    <row r="426" spans="35:41" ht="15.75" customHeight="1" x14ac:dyDescent="0.25">
      <c r="AI426" s="72"/>
      <c r="AJ426" s="72"/>
      <c r="AK426" s="72"/>
      <c r="AL426" s="72"/>
      <c r="AM426" s="72"/>
      <c r="AN426" s="72"/>
      <c r="AO426" s="72"/>
    </row>
    <row r="427" spans="35:41" ht="15.75" customHeight="1" x14ac:dyDescent="0.25">
      <c r="AI427" s="72"/>
      <c r="AJ427" s="72"/>
      <c r="AK427" s="72"/>
      <c r="AL427" s="72"/>
      <c r="AM427" s="72"/>
      <c r="AN427" s="72"/>
      <c r="AO427" s="72"/>
    </row>
    <row r="428" spans="35:41" ht="15.75" customHeight="1" x14ac:dyDescent="0.25">
      <c r="AI428" s="72"/>
      <c r="AJ428" s="72"/>
      <c r="AK428" s="72"/>
      <c r="AL428" s="72"/>
      <c r="AM428" s="72"/>
      <c r="AN428" s="72"/>
      <c r="AO428" s="72"/>
    </row>
    <row r="429" spans="35:41" ht="15.75" customHeight="1" x14ac:dyDescent="0.25">
      <c r="AI429" s="72"/>
      <c r="AJ429" s="72"/>
      <c r="AK429" s="72"/>
      <c r="AL429" s="72"/>
      <c r="AM429" s="72"/>
      <c r="AN429" s="72"/>
      <c r="AO429" s="72"/>
    </row>
    <row r="430" spans="35:41" ht="15.75" customHeight="1" x14ac:dyDescent="0.25">
      <c r="AI430" s="72"/>
      <c r="AJ430" s="72"/>
      <c r="AK430" s="72"/>
      <c r="AL430" s="72"/>
      <c r="AM430" s="72"/>
      <c r="AN430" s="72"/>
      <c r="AO430" s="72"/>
    </row>
    <row r="431" spans="35:41" ht="15.75" customHeight="1" x14ac:dyDescent="0.25">
      <c r="AI431" s="72"/>
      <c r="AJ431" s="72"/>
      <c r="AK431" s="72"/>
      <c r="AL431" s="72"/>
      <c r="AM431" s="72"/>
      <c r="AN431" s="72"/>
      <c r="AO431" s="72"/>
    </row>
    <row r="432" spans="35:41" ht="15.75" customHeight="1" x14ac:dyDescent="0.25">
      <c r="AI432" s="72"/>
      <c r="AJ432" s="72"/>
      <c r="AK432" s="72"/>
      <c r="AL432" s="72"/>
      <c r="AM432" s="72"/>
      <c r="AN432" s="72"/>
      <c r="AO432" s="72"/>
    </row>
    <row r="433" spans="35:41" ht="15.75" customHeight="1" x14ac:dyDescent="0.25">
      <c r="AI433" s="72"/>
      <c r="AJ433" s="72"/>
      <c r="AK433" s="72"/>
      <c r="AL433" s="72"/>
      <c r="AM433" s="72"/>
      <c r="AN433" s="72"/>
      <c r="AO433" s="72"/>
    </row>
    <row r="434" spans="35:41" ht="15.75" customHeight="1" x14ac:dyDescent="0.25">
      <c r="AI434" s="72"/>
      <c r="AJ434" s="72"/>
      <c r="AK434" s="72"/>
      <c r="AL434" s="72"/>
      <c r="AM434" s="72"/>
      <c r="AN434" s="72"/>
      <c r="AO434" s="72"/>
    </row>
    <row r="435" spans="35:41" ht="15.75" customHeight="1" x14ac:dyDescent="0.25">
      <c r="AI435" s="72"/>
      <c r="AJ435" s="72"/>
      <c r="AK435" s="72"/>
      <c r="AL435" s="72"/>
      <c r="AM435" s="72"/>
      <c r="AN435" s="72"/>
      <c r="AO435" s="72"/>
    </row>
    <row r="436" spans="35:41" ht="15.75" customHeight="1" x14ac:dyDescent="0.25">
      <c r="AI436" s="72"/>
      <c r="AJ436" s="72"/>
      <c r="AK436" s="72"/>
      <c r="AL436" s="72"/>
      <c r="AM436" s="72"/>
      <c r="AN436" s="72"/>
      <c r="AO436" s="72"/>
    </row>
    <row r="437" spans="35:41" ht="15.75" customHeight="1" x14ac:dyDescent="0.25">
      <c r="AI437" s="72"/>
      <c r="AJ437" s="72"/>
      <c r="AK437" s="72"/>
      <c r="AL437" s="72"/>
      <c r="AM437" s="72"/>
      <c r="AN437" s="72"/>
      <c r="AO437" s="72"/>
    </row>
    <row r="438" spans="35:41" ht="15.75" customHeight="1" x14ac:dyDescent="0.25">
      <c r="AI438" s="72"/>
      <c r="AJ438" s="72"/>
      <c r="AK438" s="72"/>
      <c r="AL438" s="72"/>
      <c r="AM438" s="72"/>
      <c r="AN438" s="72"/>
      <c r="AO438" s="72"/>
    </row>
    <row r="439" spans="35:41" ht="15.75" customHeight="1" x14ac:dyDescent="0.25">
      <c r="AI439" s="72"/>
      <c r="AJ439" s="72"/>
      <c r="AK439" s="72"/>
      <c r="AL439" s="72"/>
      <c r="AM439" s="72"/>
      <c r="AN439" s="72"/>
      <c r="AO439" s="72"/>
    </row>
    <row r="440" spans="35:41" ht="15.75" customHeight="1" x14ac:dyDescent="0.25">
      <c r="AI440" s="72"/>
      <c r="AJ440" s="72"/>
      <c r="AK440" s="72"/>
      <c r="AL440" s="72"/>
      <c r="AM440" s="72"/>
      <c r="AN440" s="72"/>
      <c r="AO440" s="72"/>
    </row>
    <row r="441" spans="35:41" ht="15.75" customHeight="1" x14ac:dyDescent="0.25">
      <c r="AI441" s="72"/>
      <c r="AJ441" s="72"/>
      <c r="AK441" s="72"/>
      <c r="AL441" s="72"/>
      <c r="AM441" s="72"/>
      <c r="AN441" s="72"/>
      <c r="AO441" s="72"/>
    </row>
    <row r="442" spans="35:41" ht="15.75" customHeight="1" x14ac:dyDescent="0.25">
      <c r="AI442" s="72"/>
      <c r="AJ442" s="72"/>
      <c r="AK442" s="72"/>
      <c r="AL442" s="72"/>
      <c r="AM442" s="72"/>
      <c r="AN442" s="72"/>
      <c r="AO442" s="72"/>
    </row>
    <row r="443" spans="35:41" ht="15.75" customHeight="1" x14ac:dyDescent="0.25">
      <c r="AI443" s="72"/>
      <c r="AJ443" s="72"/>
      <c r="AK443" s="72"/>
      <c r="AL443" s="72"/>
      <c r="AM443" s="72"/>
      <c r="AN443" s="72"/>
      <c r="AO443" s="72"/>
    </row>
    <row r="444" spans="35:41" ht="15.75" customHeight="1" x14ac:dyDescent="0.25">
      <c r="AI444" s="72"/>
      <c r="AJ444" s="72"/>
      <c r="AK444" s="72"/>
      <c r="AL444" s="72"/>
      <c r="AM444" s="72"/>
      <c r="AN444" s="72"/>
      <c r="AO444" s="72"/>
    </row>
    <row r="445" spans="35:41" ht="15.75" customHeight="1" x14ac:dyDescent="0.25">
      <c r="AI445" s="72"/>
      <c r="AJ445" s="72"/>
      <c r="AK445" s="72"/>
      <c r="AL445" s="72"/>
      <c r="AM445" s="72"/>
      <c r="AN445" s="72"/>
      <c r="AO445" s="72"/>
    </row>
    <row r="446" spans="35:41" ht="15.75" customHeight="1" x14ac:dyDescent="0.25">
      <c r="AI446" s="72"/>
      <c r="AJ446" s="72"/>
      <c r="AK446" s="72"/>
      <c r="AL446" s="72"/>
      <c r="AM446" s="72"/>
      <c r="AN446" s="72"/>
      <c r="AO446" s="72"/>
    </row>
    <row r="447" spans="35:41" ht="15.75" customHeight="1" x14ac:dyDescent="0.25">
      <c r="AI447" s="72"/>
      <c r="AJ447" s="72"/>
      <c r="AK447" s="72"/>
      <c r="AL447" s="72"/>
      <c r="AM447" s="72"/>
      <c r="AN447" s="72"/>
      <c r="AO447" s="72"/>
    </row>
    <row r="448" spans="35:41" ht="15.75" customHeight="1" x14ac:dyDescent="0.25">
      <c r="AI448" s="72"/>
      <c r="AJ448" s="72"/>
      <c r="AK448" s="72"/>
      <c r="AL448" s="72"/>
      <c r="AM448" s="72"/>
      <c r="AN448" s="72"/>
      <c r="AO448" s="72"/>
    </row>
    <row r="449" spans="35:41" ht="15.75" customHeight="1" x14ac:dyDescent="0.25">
      <c r="AI449" s="72"/>
      <c r="AJ449" s="72"/>
      <c r="AK449" s="72"/>
      <c r="AL449" s="72"/>
      <c r="AM449" s="72"/>
      <c r="AN449" s="72"/>
      <c r="AO449" s="72"/>
    </row>
    <row r="450" spans="35:41" ht="15.75" customHeight="1" x14ac:dyDescent="0.25">
      <c r="AI450" s="72"/>
      <c r="AJ450" s="72"/>
      <c r="AK450" s="72"/>
      <c r="AL450" s="72"/>
      <c r="AM450" s="72"/>
      <c r="AN450" s="72"/>
      <c r="AO450" s="72"/>
    </row>
    <row r="451" spans="35:41" ht="15.75" customHeight="1" x14ac:dyDescent="0.25">
      <c r="AI451" s="72"/>
      <c r="AJ451" s="72"/>
      <c r="AK451" s="72"/>
      <c r="AL451" s="72"/>
      <c r="AM451" s="72"/>
      <c r="AN451" s="72"/>
      <c r="AO451" s="72"/>
    </row>
    <row r="452" spans="35:41" ht="15.75" customHeight="1" x14ac:dyDescent="0.25">
      <c r="AI452" s="72"/>
      <c r="AJ452" s="72"/>
      <c r="AK452" s="72"/>
      <c r="AL452" s="72"/>
      <c r="AM452" s="72"/>
      <c r="AN452" s="72"/>
      <c r="AO452" s="72"/>
    </row>
    <row r="453" spans="35:41" ht="15.75" customHeight="1" x14ac:dyDescent="0.25">
      <c r="AI453" s="72"/>
      <c r="AJ453" s="72"/>
      <c r="AK453" s="72"/>
      <c r="AL453" s="72"/>
      <c r="AM453" s="72"/>
      <c r="AN453" s="72"/>
      <c r="AO453" s="72"/>
    </row>
    <row r="454" spans="35:41" ht="15.75" customHeight="1" x14ac:dyDescent="0.25">
      <c r="AI454" s="72"/>
      <c r="AJ454" s="72"/>
      <c r="AK454" s="72"/>
      <c r="AL454" s="72"/>
      <c r="AM454" s="72"/>
      <c r="AN454" s="72"/>
      <c r="AO454" s="72"/>
    </row>
    <row r="455" spans="35:41" ht="15.75" customHeight="1" x14ac:dyDescent="0.25">
      <c r="AI455" s="72"/>
      <c r="AJ455" s="72"/>
      <c r="AK455" s="72"/>
      <c r="AL455" s="72"/>
      <c r="AM455" s="72"/>
      <c r="AN455" s="72"/>
      <c r="AO455" s="72"/>
    </row>
    <row r="456" spans="35:41" ht="15.75" customHeight="1" x14ac:dyDescent="0.25">
      <c r="AI456" s="72"/>
      <c r="AJ456" s="72"/>
      <c r="AK456" s="72"/>
      <c r="AL456" s="72"/>
      <c r="AM456" s="72"/>
      <c r="AN456" s="72"/>
      <c r="AO456" s="72"/>
    </row>
    <row r="457" spans="35:41" ht="15.75" customHeight="1" x14ac:dyDescent="0.25">
      <c r="AI457" s="72"/>
      <c r="AJ457" s="72"/>
      <c r="AK457" s="72"/>
      <c r="AL457" s="72"/>
      <c r="AM457" s="72"/>
      <c r="AN457" s="72"/>
      <c r="AO457" s="72"/>
    </row>
    <row r="458" spans="35:41" ht="15.75" customHeight="1" x14ac:dyDescent="0.25">
      <c r="AI458" s="72"/>
      <c r="AJ458" s="72"/>
      <c r="AK458" s="72"/>
      <c r="AL458" s="72"/>
      <c r="AM458" s="72"/>
      <c r="AN458" s="72"/>
      <c r="AO458" s="72"/>
    </row>
    <row r="459" spans="35:41" ht="15.75" customHeight="1" x14ac:dyDescent="0.25">
      <c r="AI459" s="72"/>
      <c r="AJ459" s="72"/>
      <c r="AK459" s="72"/>
      <c r="AL459" s="72"/>
      <c r="AM459" s="72"/>
      <c r="AN459" s="72"/>
      <c r="AO459" s="72"/>
    </row>
    <row r="460" spans="35:41" ht="15.75" customHeight="1" x14ac:dyDescent="0.25">
      <c r="AI460" s="72"/>
      <c r="AJ460" s="72"/>
      <c r="AK460" s="72"/>
      <c r="AL460" s="72"/>
      <c r="AM460" s="72"/>
      <c r="AN460" s="72"/>
      <c r="AO460" s="72"/>
    </row>
    <row r="461" spans="35:41" ht="15.75" customHeight="1" x14ac:dyDescent="0.25">
      <c r="AI461" s="72"/>
      <c r="AJ461" s="72"/>
      <c r="AK461" s="72"/>
      <c r="AL461" s="72"/>
      <c r="AM461" s="72"/>
      <c r="AN461" s="72"/>
      <c r="AO461" s="72"/>
    </row>
    <row r="462" spans="35:41" ht="15.75" customHeight="1" x14ac:dyDescent="0.25">
      <c r="AI462" s="72"/>
      <c r="AJ462" s="72"/>
      <c r="AK462" s="72"/>
      <c r="AL462" s="72"/>
      <c r="AM462" s="72"/>
      <c r="AN462" s="72"/>
      <c r="AO462" s="72"/>
    </row>
    <row r="463" spans="35:41" ht="15.75" customHeight="1" x14ac:dyDescent="0.25">
      <c r="AI463" s="72"/>
      <c r="AJ463" s="72"/>
      <c r="AK463" s="72"/>
      <c r="AL463" s="72"/>
      <c r="AM463" s="72"/>
      <c r="AN463" s="72"/>
      <c r="AO463" s="72"/>
    </row>
    <row r="464" spans="35:41" ht="15.75" customHeight="1" x14ac:dyDescent="0.25">
      <c r="AI464" s="72"/>
      <c r="AJ464" s="72"/>
      <c r="AK464" s="72"/>
      <c r="AL464" s="72"/>
      <c r="AM464" s="72"/>
      <c r="AN464" s="72"/>
      <c r="AO464" s="72"/>
    </row>
    <row r="465" spans="35:41" ht="15.75" customHeight="1" x14ac:dyDescent="0.25">
      <c r="AI465" s="72"/>
      <c r="AJ465" s="72"/>
      <c r="AK465" s="72"/>
      <c r="AL465" s="72"/>
      <c r="AM465" s="72"/>
      <c r="AN465" s="72"/>
      <c r="AO465" s="72"/>
    </row>
    <row r="466" spans="35:41" ht="15.75" customHeight="1" x14ac:dyDescent="0.25">
      <c r="AI466" s="72"/>
      <c r="AJ466" s="72"/>
      <c r="AK466" s="72"/>
      <c r="AL466" s="72"/>
      <c r="AM466" s="72"/>
      <c r="AN466" s="72"/>
      <c r="AO466" s="72"/>
    </row>
    <row r="467" spans="35:41" ht="15.75" customHeight="1" x14ac:dyDescent="0.25">
      <c r="AI467" s="72"/>
      <c r="AJ467" s="72"/>
      <c r="AK467" s="72"/>
      <c r="AL467" s="72"/>
      <c r="AM467" s="72"/>
      <c r="AN467" s="72"/>
      <c r="AO467" s="72"/>
    </row>
    <row r="468" spans="35:41" ht="15.75" customHeight="1" x14ac:dyDescent="0.25">
      <c r="AI468" s="72"/>
      <c r="AJ468" s="72"/>
      <c r="AK468" s="72"/>
      <c r="AL468" s="72"/>
      <c r="AM468" s="72"/>
      <c r="AN468" s="72"/>
      <c r="AO468" s="72"/>
    </row>
    <row r="469" spans="35:41" ht="15.75" customHeight="1" x14ac:dyDescent="0.25">
      <c r="AI469" s="72"/>
      <c r="AJ469" s="72"/>
      <c r="AK469" s="72"/>
      <c r="AL469" s="72"/>
      <c r="AM469" s="72"/>
      <c r="AN469" s="72"/>
      <c r="AO469" s="72"/>
    </row>
    <row r="470" spans="35:41" ht="15.75" customHeight="1" x14ac:dyDescent="0.25">
      <c r="AI470" s="72"/>
      <c r="AJ470" s="72"/>
      <c r="AK470" s="72"/>
      <c r="AL470" s="72"/>
      <c r="AM470" s="72"/>
      <c r="AN470" s="72"/>
      <c r="AO470" s="72"/>
    </row>
    <row r="471" spans="35:41" ht="15.75" customHeight="1" x14ac:dyDescent="0.25">
      <c r="AI471" s="72"/>
      <c r="AJ471" s="72"/>
      <c r="AK471" s="72"/>
      <c r="AL471" s="72"/>
      <c r="AM471" s="72"/>
      <c r="AN471" s="72"/>
      <c r="AO471" s="72"/>
    </row>
    <row r="472" spans="35:41" ht="15.75" customHeight="1" x14ac:dyDescent="0.25">
      <c r="AI472" s="72"/>
      <c r="AJ472" s="72"/>
      <c r="AK472" s="72"/>
      <c r="AL472" s="72"/>
      <c r="AM472" s="72"/>
      <c r="AN472" s="72"/>
      <c r="AO472" s="72"/>
    </row>
    <row r="473" spans="35:41" ht="15.75" customHeight="1" x14ac:dyDescent="0.25">
      <c r="AI473" s="72"/>
      <c r="AJ473" s="72"/>
      <c r="AK473" s="72"/>
      <c r="AL473" s="72"/>
      <c r="AM473" s="72"/>
      <c r="AN473" s="72"/>
      <c r="AO473" s="72"/>
    </row>
    <row r="474" spans="35:41" ht="15.75" customHeight="1" x14ac:dyDescent="0.25">
      <c r="AI474" s="72"/>
      <c r="AJ474" s="72"/>
      <c r="AK474" s="72"/>
      <c r="AL474" s="72"/>
      <c r="AM474" s="72"/>
      <c r="AN474" s="72"/>
      <c r="AO474" s="72"/>
    </row>
    <row r="475" spans="35:41" ht="15.75" customHeight="1" x14ac:dyDescent="0.25">
      <c r="AI475" s="72"/>
      <c r="AJ475" s="72"/>
      <c r="AK475" s="72"/>
      <c r="AL475" s="72"/>
      <c r="AM475" s="72"/>
      <c r="AN475" s="72"/>
      <c r="AO475" s="72"/>
    </row>
    <row r="476" spans="35:41" ht="15.75" customHeight="1" x14ac:dyDescent="0.25">
      <c r="AI476" s="72"/>
      <c r="AJ476" s="72"/>
      <c r="AK476" s="72"/>
      <c r="AL476" s="72"/>
      <c r="AM476" s="72"/>
      <c r="AN476" s="72"/>
      <c r="AO476" s="72"/>
    </row>
    <row r="477" spans="35:41" ht="15.75" customHeight="1" x14ac:dyDescent="0.25">
      <c r="AI477" s="72"/>
      <c r="AJ477" s="72"/>
      <c r="AK477" s="72"/>
      <c r="AL477" s="72"/>
      <c r="AM477" s="72"/>
      <c r="AN477" s="72"/>
      <c r="AO477" s="72"/>
    </row>
    <row r="478" spans="35:41" ht="15.75" customHeight="1" x14ac:dyDescent="0.25">
      <c r="AI478" s="72"/>
      <c r="AJ478" s="72"/>
      <c r="AK478" s="72"/>
      <c r="AL478" s="72"/>
      <c r="AM478" s="72"/>
      <c r="AN478" s="72"/>
      <c r="AO478" s="72"/>
    </row>
    <row r="479" spans="35:41" ht="15.75" customHeight="1" x14ac:dyDescent="0.25">
      <c r="AI479" s="72"/>
      <c r="AJ479" s="72"/>
      <c r="AK479" s="72"/>
      <c r="AL479" s="72"/>
      <c r="AM479" s="72"/>
      <c r="AN479" s="72"/>
      <c r="AO479" s="72"/>
    </row>
    <row r="480" spans="35:41" ht="15.75" customHeight="1" x14ac:dyDescent="0.25">
      <c r="AI480" s="72"/>
      <c r="AJ480" s="72"/>
      <c r="AK480" s="72"/>
      <c r="AL480" s="72"/>
      <c r="AM480" s="72"/>
      <c r="AN480" s="72"/>
      <c r="AO480" s="72"/>
    </row>
    <row r="481" spans="35:41" ht="15.75" customHeight="1" x14ac:dyDescent="0.25">
      <c r="AI481" s="72"/>
      <c r="AJ481" s="72"/>
      <c r="AK481" s="72"/>
      <c r="AL481" s="72"/>
      <c r="AM481" s="72"/>
      <c r="AN481" s="72"/>
      <c r="AO481" s="72"/>
    </row>
    <row r="482" spans="35:41" ht="15.75" customHeight="1" x14ac:dyDescent="0.25">
      <c r="AI482" s="72"/>
      <c r="AJ482" s="72"/>
      <c r="AK482" s="72"/>
      <c r="AL482" s="72"/>
      <c r="AM482" s="72"/>
      <c r="AN482" s="72"/>
      <c r="AO482" s="72"/>
    </row>
    <row r="483" spans="35:41" ht="15.75" customHeight="1" x14ac:dyDescent="0.25">
      <c r="AI483" s="72"/>
      <c r="AJ483" s="72"/>
      <c r="AK483" s="72"/>
      <c r="AL483" s="72"/>
      <c r="AM483" s="72"/>
      <c r="AN483" s="72"/>
      <c r="AO483" s="72"/>
    </row>
    <row r="484" spans="35:41" ht="15.75" customHeight="1" x14ac:dyDescent="0.25">
      <c r="AI484" s="72"/>
      <c r="AJ484" s="72"/>
      <c r="AK484" s="72"/>
      <c r="AL484" s="72"/>
      <c r="AM484" s="72"/>
      <c r="AN484" s="72"/>
      <c r="AO484" s="72"/>
    </row>
    <row r="485" spans="35:41" ht="15.75" customHeight="1" x14ac:dyDescent="0.25">
      <c r="AI485" s="72"/>
      <c r="AJ485" s="72"/>
      <c r="AK485" s="72"/>
      <c r="AL485" s="72"/>
      <c r="AM485" s="72"/>
      <c r="AN485" s="72"/>
      <c r="AO485" s="72"/>
    </row>
    <row r="486" spans="35:41" ht="15.75" customHeight="1" x14ac:dyDescent="0.25">
      <c r="AI486" s="72"/>
      <c r="AJ486" s="72"/>
      <c r="AK486" s="72"/>
      <c r="AL486" s="72"/>
      <c r="AM486" s="72"/>
      <c r="AN486" s="72"/>
      <c r="AO486" s="72"/>
    </row>
    <row r="487" spans="35:41" ht="15.75" customHeight="1" x14ac:dyDescent="0.25">
      <c r="AI487" s="72"/>
      <c r="AJ487" s="72"/>
      <c r="AK487" s="72"/>
      <c r="AL487" s="72"/>
      <c r="AM487" s="72"/>
      <c r="AN487" s="72"/>
      <c r="AO487" s="72"/>
    </row>
    <row r="488" spans="35:41" ht="15.75" customHeight="1" x14ac:dyDescent="0.25">
      <c r="AI488" s="72"/>
      <c r="AJ488" s="72"/>
      <c r="AK488" s="72"/>
      <c r="AL488" s="72"/>
      <c r="AM488" s="72"/>
      <c r="AN488" s="72"/>
      <c r="AO488" s="72"/>
    </row>
    <row r="489" spans="35:41" ht="15.75" customHeight="1" x14ac:dyDescent="0.25">
      <c r="AI489" s="72"/>
      <c r="AJ489" s="72"/>
      <c r="AK489" s="72"/>
      <c r="AL489" s="72"/>
      <c r="AM489" s="72"/>
      <c r="AN489" s="72"/>
      <c r="AO489" s="72"/>
    </row>
    <row r="490" spans="35:41" ht="15.75" customHeight="1" x14ac:dyDescent="0.25">
      <c r="AI490" s="72"/>
      <c r="AJ490" s="72"/>
      <c r="AK490" s="72"/>
      <c r="AL490" s="72"/>
      <c r="AM490" s="72"/>
      <c r="AN490" s="72"/>
      <c r="AO490" s="72"/>
    </row>
    <row r="491" spans="35:41" ht="15.75" customHeight="1" x14ac:dyDescent="0.25">
      <c r="AI491" s="72"/>
      <c r="AJ491" s="72"/>
      <c r="AK491" s="72"/>
      <c r="AL491" s="72"/>
      <c r="AM491" s="72"/>
      <c r="AN491" s="72"/>
      <c r="AO491" s="72"/>
    </row>
    <row r="492" spans="35:41" ht="15.75" customHeight="1" x14ac:dyDescent="0.25">
      <c r="AI492" s="72"/>
      <c r="AJ492" s="72"/>
      <c r="AK492" s="72"/>
      <c r="AL492" s="72"/>
      <c r="AM492" s="72"/>
      <c r="AN492" s="72"/>
      <c r="AO492" s="72"/>
    </row>
    <row r="493" spans="35:41" ht="15.75" customHeight="1" x14ac:dyDescent="0.25">
      <c r="AI493" s="72"/>
      <c r="AJ493" s="72"/>
      <c r="AK493" s="72"/>
      <c r="AL493" s="72"/>
      <c r="AM493" s="72"/>
      <c r="AN493" s="72"/>
      <c r="AO493" s="72"/>
    </row>
    <row r="494" spans="35:41" ht="15.75" customHeight="1" x14ac:dyDescent="0.25">
      <c r="AI494" s="72"/>
      <c r="AJ494" s="72"/>
      <c r="AK494" s="72"/>
      <c r="AL494" s="72"/>
      <c r="AM494" s="72"/>
      <c r="AN494" s="72"/>
      <c r="AO494" s="72"/>
    </row>
    <row r="495" spans="35:41" ht="15.75" customHeight="1" x14ac:dyDescent="0.25">
      <c r="AI495" s="72"/>
      <c r="AJ495" s="72"/>
      <c r="AK495" s="72"/>
      <c r="AL495" s="72"/>
      <c r="AM495" s="72"/>
      <c r="AN495" s="72"/>
      <c r="AO495" s="72"/>
    </row>
    <row r="496" spans="35:41" ht="15.75" customHeight="1" x14ac:dyDescent="0.25">
      <c r="AI496" s="72"/>
      <c r="AJ496" s="72"/>
      <c r="AK496" s="72"/>
      <c r="AL496" s="72"/>
      <c r="AM496" s="72"/>
      <c r="AN496" s="72"/>
      <c r="AO496" s="72"/>
    </row>
    <row r="497" spans="35:41" ht="15.75" customHeight="1" x14ac:dyDescent="0.25">
      <c r="AI497" s="72"/>
      <c r="AJ497" s="72"/>
      <c r="AK497" s="72"/>
      <c r="AL497" s="72"/>
      <c r="AM497" s="72"/>
      <c r="AN497" s="72"/>
      <c r="AO497" s="72"/>
    </row>
    <row r="498" spans="35:41" ht="15.75" customHeight="1" x14ac:dyDescent="0.25">
      <c r="AI498" s="72"/>
      <c r="AJ498" s="72"/>
      <c r="AK498" s="72"/>
      <c r="AL498" s="72"/>
      <c r="AM498" s="72"/>
      <c r="AN498" s="72"/>
      <c r="AO498" s="72"/>
    </row>
    <row r="499" spans="35:41" ht="15.75" customHeight="1" x14ac:dyDescent="0.25">
      <c r="AI499" s="72"/>
      <c r="AJ499" s="72"/>
      <c r="AK499" s="72"/>
      <c r="AL499" s="72"/>
      <c r="AM499" s="72"/>
      <c r="AN499" s="72"/>
      <c r="AO499" s="72"/>
    </row>
    <row r="500" spans="35:41" ht="15.75" customHeight="1" x14ac:dyDescent="0.25">
      <c r="AI500" s="72"/>
      <c r="AJ500" s="72"/>
      <c r="AK500" s="72"/>
      <c r="AL500" s="72"/>
      <c r="AM500" s="72"/>
      <c r="AN500" s="72"/>
      <c r="AO500" s="72"/>
    </row>
    <row r="501" spans="35:41" ht="15.75" customHeight="1" x14ac:dyDescent="0.25">
      <c r="AI501" s="72"/>
      <c r="AJ501" s="72"/>
      <c r="AK501" s="72"/>
      <c r="AL501" s="72"/>
      <c r="AM501" s="72"/>
      <c r="AN501" s="72"/>
      <c r="AO501" s="72"/>
    </row>
    <row r="502" spans="35:41" ht="15.75" customHeight="1" x14ac:dyDescent="0.25">
      <c r="AI502" s="72"/>
      <c r="AJ502" s="72"/>
      <c r="AK502" s="72"/>
      <c r="AL502" s="72"/>
      <c r="AM502" s="72"/>
      <c r="AN502" s="72"/>
      <c r="AO502" s="72"/>
    </row>
    <row r="503" spans="35:41" ht="15.75" customHeight="1" x14ac:dyDescent="0.25">
      <c r="AI503" s="72"/>
      <c r="AJ503" s="72"/>
      <c r="AK503" s="72"/>
      <c r="AL503" s="72"/>
      <c r="AM503" s="72"/>
      <c r="AN503" s="72"/>
      <c r="AO503" s="72"/>
    </row>
    <row r="504" spans="35:41" ht="15.75" customHeight="1" x14ac:dyDescent="0.25">
      <c r="AI504" s="72"/>
      <c r="AJ504" s="72"/>
      <c r="AK504" s="72"/>
      <c r="AL504" s="72"/>
      <c r="AM504" s="72"/>
      <c r="AN504" s="72"/>
      <c r="AO504" s="72"/>
    </row>
    <row r="505" spans="35:41" ht="15.75" customHeight="1" x14ac:dyDescent="0.25">
      <c r="AI505" s="72"/>
      <c r="AJ505" s="72"/>
      <c r="AK505" s="72"/>
      <c r="AL505" s="72"/>
      <c r="AM505" s="72"/>
      <c r="AN505" s="72"/>
      <c r="AO505" s="72"/>
    </row>
    <row r="506" spans="35:41" ht="15.75" customHeight="1" x14ac:dyDescent="0.25">
      <c r="AI506" s="72"/>
      <c r="AJ506" s="72"/>
      <c r="AK506" s="72"/>
      <c r="AL506" s="72"/>
      <c r="AM506" s="72"/>
      <c r="AN506" s="72"/>
      <c r="AO506" s="72"/>
    </row>
    <row r="507" spans="35:41" ht="15.75" customHeight="1" x14ac:dyDescent="0.25">
      <c r="AI507" s="72"/>
      <c r="AJ507" s="72"/>
      <c r="AK507" s="72"/>
      <c r="AL507" s="72"/>
      <c r="AM507" s="72"/>
      <c r="AN507" s="72"/>
      <c r="AO507" s="72"/>
    </row>
    <row r="508" spans="35:41" ht="15.75" customHeight="1" x14ac:dyDescent="0.25">
      <c r="AI508" s="72"/>
      <c r="AJ508" s="72"/>
      <c r="AK508" s="72"/>
      <c r="AL508" s="72"/>
      <c r="AM508" s="72"/>
      <c r="AN508" s="72"/>
      <c r="AO508" s="72"/>
    </row>
    <row r="509" spans="35:41" ht="15.75" customHeight="1" x14ac:dyDescent="0.25">
      <c r="AI509" s="72"/>
      <c r="AJ509" s="72"/>
      <c r="AK509" s="72"/>
      <c r="AL509" s="72"/>
      <c r="AM509" s="72"/>
      <c r="AN509" s="72"/>
      <c r="AO509" s="72"/>
    </row>
    <row r="510" spans="35:41" ht="15.75" customHeight="1" x14ac:dyDescent="0.25">
      <c r="AI510" s="72"/>
      <c r="AJ510" s="72"/>
      <c r="AK510" s="72"/>
      <c r="AL510" s="72"/>
      <c r="AM510" s="72"/>
      <c r="AN510" s="72"/>
      <c r="AO510" s="72"/>
    </row>
    <row r="511" spans="35:41" ht="15.75" customHeight="1" x14ac:dyDescent="0.25">
      <c r="AI511" s="72"/>
      <c r="AJ511" s="72"/>
      <c r="AK511" s="72"/>
      <c r="AL511" s="72"/>
      <c r="AM511" s="72"/>
      <c r="AN511" s="72"/>
      <c r="AO511" s="72"/>
    </row>
    <row r="512" spans="35:41" ht="15.75" customHeight="1" x14ac:dyDescent="0.25">
      <c r="AI512" s="72"/>
      <c r="AJ512" s="72"/>
      <c r="AK512" s="72"/>
      <c r="AL512" s="72"/>
      <c r="AM512" s="72"/>
      <c r="AN512" s="72"/>
      <c r="AO512" s="72"/>
    </row>
    <row r="513" spans="35:41" ht="15.75" customHeight="1" x14ac:dyDescent="0.25">
      <c r="AI513" s="72"/>
      <c r="AJ513" s="72"/>
      <c r="AK513" s="72"/>
      <c r="AL513" s="72"/>
      <c r="AM513" s="72"/>
      <c r="AN513" s="72"/>
      <c r="AO513" s="72"/>
    </row>
    <row r="514" spans="35:41" ht="15.75" customHeight="1" x14ac:dyDescent="0.25">
      <c r="AI514" s="72"/>
      <c r="AJ514" s="72"/>
      <c r="AK514" s="72"/>
      <c r="AL514" s="72"/>
      <c r="AM514" s="72"/>
      <c r="AN514" s="72"/>
      <c r="AO514" s="72"/>
    </row>
    <row r="515" spans="35:41" ht="15.75" customHeight="1" x14ac:dyDescent="0.25">
      <c r="AI515" s="72"/>
      <c r="AJ515" s="72"/>
      <c r="AK515" s="72"/>
      <c r="AL515" s="72"/>
      <c r="AM515" s="72"/>
      <c r="AN515" s="72"/>
      <c r="AO515" s="72"/>
    </row>
    <row r="516" spans="35:41" ht="15.75" customHeight="1" x14ac:dyDescent="0.25">
      <c r="AI516" s="72"/>
      <c r="AJ516" s="72"/>
      <c r="AK516" s="72"/>
      <c r="AL516" s="72"/>
      <c r="AM516" s="72"/>
      <c r="AN516" s="72"/>
      <c r="AO516" s="72"/>
    </row>
    <row r="517" spans="35:41" ht="15.75" customHeight="1" x14ac:dyDescent="0.25">
      <c r="AI517" s="72"/>
      <c r="AJ517" s="72"/>
      <c r="AK517" s="72"/>
      <c r="AL517" s="72"/>
      <c r="AM517" s="72"/>
      <c r="AN517" s="72"/>
      <c r="AO517" s="72"/>
    </row>
    <row r="518" spans="35:41" ht="15.75" customHeight="1" x14ac:dyDescent="0.25">
      <c r="AI518" s="72"/>
      <c r="AJ518" s="72"/>
      <c r="AK518" s="72"/>
      <c r="AL518" s="72"/>
      <c r="AM518" s="72"/>
      <c r="AN518" s="72"/>
      <c r="AO518" s="72"/>
    </row>
    <row r="519" spans="35:41" ht="15.75" customHeight="1" x14ac:dyDescent="0.25">
      <c r="AI519" s="72"/>
      <c r="AJ519" s="72"/>
      <c r="AK519" s="72"/>
      <c r="AL519" s="72"/>
      <c r="AM519" s="72"/>
      <c r="AN519" s="72"/>
      <c r="AO519" s="72"/>
    </row>
    <row r="520" spans="35:41" ht="15.75" customHeight="1" x14ac:dyDescent="0.25">
      <c r="AI520" s="72"/>
      <c r="AJ520" s="72"/>
      <c r="AK520" s="72"/>
      <c r="AL520" s="72"/>
      <c r="AM520" s="72"/>
      <c r="AN520" s="72"/>
      <c r="AO520" s="72"/>
    </row>
    <row r="521" spans="35:41" ht="15.75" customHeight="1" x14ac:dyDescent="0.25">
      <c r="AI521" s="72"/>
      <c r="AJ521" s="72"/>
      <c r="AK521" s="72"/>
      <c r="AL521" s="72"/>
      <c r="AM521" s="72"/>
      <c r="AN521" s="72"/>
      <c r="AO521" s="72"/>
    </row>
    <row r="522" spans="35:41" ht="15.75" customHeight="1" x14ac:dyDescent="0.25">
      <c r="AI522" s="72"/>
      <c r="AJ522" s="72"/>
      <c r="AK522" s="72"/>
      <c r="AL522" s="72"/>
      <c r="AM522" s="72"/>
      <c r="AN522" s="72"/>
      <c r="AO522" s="72"/>
    </row>
    <row r="523" spans="35:41" ht="15.75" customHeight="1" x14ac:dyDescent="0.25">
      <c r="AI523" s="72"/>
      <c r="AJ523" s="72"/>
      <c r="AK523" s="72"/>
      <c r="AL523" s="72"/>
      <c r="AM523" s="72"/>
      <c r="AN523" s="72"/>
      <c r="AO523" s="72"/>
    </row>
    <row r="524" spans="35:41" ht="15.75" customHeight="1" x14ac:dyDescent="0.25">
      <c r="AI524" s="72"/>
      <c r="AJ524" s="72"/>
      <c r="AK524" s="72"/>
      <c r="AL524" s="72"/>
      <c r="AM524" s="72"/>
      <c r="AN524" s="72"/>
      <c r="AO524" s="72"/>
    </row>
    <row r="525" spans="35:41" ht="15.75" customHeight="1" x14ac:dyDescent="0.25">
      <c r="AI525" s="72"/>
      <c r="AJ525" s="72"/>
      <c r="AK525" s="72"/>
      <c r="AL525" s="72"/>
      <c r="AM525" s="72"/>
      <c r="AN525" s="72"/>
      <c r="AO525" s="72"/>
    </row>
    <row r="526" spans="35:41" ht="15.75" customHeight="1" x14ac:dyDescent="0.25">
      <c r="AI526" s="72"/>
      <c r="AJ526" s="72"/>
      <c r="AK526" s="72"/>
      <c r="AL526" s="72"/>
      <c r="AM526" s="72"/>
      <c r="AN526" s="72"/>
      <c r="AO526" s="72"/>
    </row>
    <row r="527" spans="35:41" ht="15.75" customHeight="1" x14ac:dyDescent="0.25">
      <c r="AI527" s="72"/>
      <c r="AJ527" s="72"/>
      <c r="AK527" s="72"/>
      <c r="AL527" s="72"/>
      <c r="AM527" s="72"/>
      <c r="AN527" s="72"/>
      <c r="AO527" s="72"/>
    </row>
    <row r="528" spans="35:41" ht="15.75" customHeight="1" x14ac:dyDescent="0.25">
      <c r="AI528" s="72"/>
      <c r="AJ528" s="72"/>
      <c r="AK528" s="72"/>
      <c r="AL528" s="72"/>
      <c r="AM528" s="72"/>
      <c r="AN528" s="72"/>
      <c r="AO528" s="72"/>
    </row>
    <row r="529" spans="35:41" ht="15.75" customHeight="1" x14ac:dyDescent="0.25">
      <c r="AI529" s="72"/>
      <c r="AJ529" s="72"/>
      <c r="AK529" s="72"/>
      <c r="AL529" s="72"/>
      <c r="AM529" s="72"/>
      <c r="AN529" s="72"/>
      <c r="AO529" s="72"/>
    </row>
    <row r="530" spans="35:41" ht="15.75" customHeight="1" x14ac:dyDescent="0.25">
      <c r="AI530" s="72"/>
      <c r="AJ530" s="72"/>
      <c r="AK530" s="72"/>
      <c r="AL530" s="72"/>
      <c r="AM530" s="72"/>
      <c r="AN530" s="72"/>
      <c r="AO530" s="72"/>
    </row>
    <row r="531" spans="35:41" ht="15.75" customHeight="1" x14ac:dyDescent="0.25">
      <c r="AI531" s="72"/>
      <c r="AJ531" s="72"/>
      <c r="AK531" s="72"/>
      <c r="AL531" s="72"/>
      <c r="AM531" s="72"/>
      <c r="AN531" s="72"/>
      <c r="AO531" s="72"/>
    </row>
    <row r="532" spans="35:41" ht="15.75" customHeight="1" x14ac:dyDescent="0.25">
      <c r="AI532" s="72"/>
      <c r="AJ532" s="72"/>
      <c r="AK532" s="72"/>
      <c r="AL532" s="72"/>
      <c r="AM532" s="72"/>
      <c r="AN532" s="72"/>
      <c r="AO532" s="72"/>
    </row>
    <row r="533" spans="35:41" ht="15.75" customHeight="1" x14ac:dyDescent="0.25">
      <c r="AI533" s="72"/>
      <c r="AJ533" s="72"/>
      <c r="AK533" s="72"/>
      <c r="AL533" s="72"/>
      <c r="AM533" s="72"/>
      <c r="AN533" s="72"/>
      <c r="AO533" s="72"/>
    </row>
    <row r="534" spans="35:41" ht="15.75" customHeight="1" x14ac:dyDescent="0.25">
      <c r="AI534" s="72"/>
      <c r="AJ534" s="72"/>
      <c r="AK534" s="72"/>
      <c r="AL534" s="72"/>
      <c r="AM534" s="72"/>
      <c r="AN534" s="72"/>
      <c r="AO534" s="72"/>
    </row>
    <row r="535" spans="35:41" ht="15.75" customHeight="1" x14ac:dyDescent="0.25">
      <c r="AI535" s="72"/>
      <c r="AJ535" s="72"/>
      <c r="AK535" s="72"/>
      <c r="AL535" s="72"/>
      <c r="AM535" s="72"/>
      <c r="AN535" s="72"/>
      <c r="AO535" s="72"/>
    </row>
    <row r="536" spans="35:41" ht="15.75" customHeight="1" x14ac:dyDescent="0.25">
      <c r="AI536" s="72"/>
      <c r="AJ536" s="72"/>
      <c r="AK536" s="72"/>
      <c r="AL536" s="72"/>
      <c r="AM536" s="72"/>
      <c r="AN536" s="72"/>
      <c r="AO536" s="72"/>
    </row>
    <row r="537" spans="35:41" ht="15.75" customHeight="1" x14ac:dyDescent="0.25">
      <c r="AI537" s="72"/>
      <c r="AJ537" s="72"/>
      <c r="AK537" s="72"/>
      <c r="AL537" s="72"/>
      <c r="AM537" s="72"/>
      <c r="AN537" s="72"/>
      <c r="AO537" s="72"/>
    </row>
    <row r="538" spans="35:41" ht="15.75" customHeight="1" x14ac:dyDescent="0.25">
      <c r="AI538" s="72"/>
      <c r="AJ538" s="72"/>
      <c r="AK538" s="72"/>
      <c r="AL538" s="72"/>
      <c r="AM538" s="72"/>
      <c r="AN538" s="72"/>
      <c r="AO538" s="72"/>
    </row>
    <row r="539" spans="35:41" ht="15.75" customHeight="1" x14ac:dyDescent="0.25">
      <c r="AI539" s="72"/>
      <c r="AJ539" s="72"/>
      <c r="AK539" s="72"/>
      <c r="AL539" s="72"/>
      <c r="AM539" s="72"/>
      <c r="AN539" s="72"/>
      <c r="AO539" s="72"/>
    </row>
    <row r="540" spans="35:41" ht="15.75" customHeight="1" x14ac:dyDescent="0.25">
      <c r="AI540" s="72"/>
      <c r="AJ540" s="72"/>
      <c r="AK540" s="72"/>
      <c r="AL540" s="72"/>
      <c r="AM540" s="72"/>
      <c r="AN540" s="72"/>
      <c r="AO540" s="72"/>
    </row>
    <row r="541" spans="35:41" ht="15.75" customHeight="1" x14ac:dyDescent="0.25">
      <c r="AI541" s="72"/>
      <c r="AJ541" s="72"/>
      <c r="AK541" s="72"/>
      <c r="AL541" s="72"/>
      <c r="AM541" s="72"/>
      <c r="AN541" s="72"/>
      <c r="AO541" s="72"/>
    </row>
    <row r="542" spans="35:41" ht="15.75" customHeight="1" x14ac:dyDescent="0.25">
      <c r="AI542" s="72"/>
      <c r="AJ542" s="72"/>
      <c r="AK542" s="72"/>
      <c r="AL542" s="72"/>
      <c r="AM542" s="72"/>
      <c r="AN542" s="72"/>
      <c r="AO542" s="72"/>
    </row>
    <row r="543" spans="35:41" ht="15.75" customHeight="1" x14ac:dyDescent="0.25">
      <c r="AI543" s="72"/>
      <c r="AJ543" s="72"/>
      <c r="AK543" s="72"/>
      <c r="AL543" s="72"/>
      <c r="AM543" s="72"/>
      <c r="AN543" s="72"/>
      <c r="AO543" s="72"/>
    </row>
    <row r="544" spans="35:41" ht="15.75" customHeight="1" x14ac:dyDescent="0.25">
      <c r="AI544" s="72"/>
      <c r="AJ544" s="72"/>
      <c r="AK544" s="72"/>
      <c r="AL544" s="72"/>
      <c r="AM544" s="72"/>
      <c r="AN544" s="72"/>
      <c r="AO544" s="72"/>
    </row>
    <row r="545" spans="35:41" ht="15.75" customHeight="1" x14ac:dyDescent="0.25">
      <c r="AI545" s="72"/>
      <c r="AJ545" s="72"/>
      <c r="AK545" s="72"/>
      <c r="AL545" s="72"/>
      <c r="AM545" s="72"/>
      <c r="AN545" s="72"/>
      <c r="AO545" s="72"/>
    </row>
    <row r="546" spans="35:41" ht="15.75" customHeight="1" x14ac:dyDescent="0.25">
      <c r="AI546" s="72"/>
      <c r="AJ546" s="72"/>
      <c r="AK546" s="72"/>
      <c r="AL546" s="72"/>
      <c r="AM546" s="72"/>
      <c r="AN546" s="72"/>
      <c r="AO546" s="72"/>
    </row>
    <row r="547" spans="35:41" ht="15.75" customHeight="1" x14ac:dyDescent="0.25">
      <c r="AI547" s="72"/>
      <c r="AJ547" s="72"/>
      <c r="AK547" s="72"/>
      <c r="AL547" s="72"/>
      <c r="AM547" s="72"/>
      <c r="AN547" s="72"/>
      <c r="AO547" s="72"/>
    </row>
    <row r="548" spans="35:41" ht="15.75" customHeight="1" x14ac:dyDescent="0.25">
      <c r="AI548" s="72"/>
      <c r="AJ548" s="72"/>
      <c r="AK548" s="72"/>
      <c r="AL548" s="72"/>
      <c r="AM548" s="72"/>
      <c r="AN548" s="72"/>
      <c r="AO548" s="72"/>
    </row>
    <row r="549" spans="35:41" ht="15.75" customHeight="1" x14ac:dyDescent="0.25">
      <c r="AI549" s="72"/>
      <c r="AJ549" s="72"/>
      <c r="AK549" s="72"/>
      <c r="AL549" s="72"/>
      <c r="AM549" s="72"/>
      <c r="AN549" s="72"/>
      <c r="AO549" s="72"/>
    </row>
    <row r="550" spans="35:41" ht="15.75" customHeight="1" x14ac:dyDescent="0.25">
      <c r="AI550" s="72"/>
      <c r="AJ550" s="72"/>
      <c r="AK550" s="72"/>
      <c r="AL550" s="72"/>
      <c r="AM550" s="72"/>
      <c r="AN550" s="72"/>
      <c r="AO550" s="72"/>
    </row>
    <row r="551" spans="35:41" ht="15.75" customHeight="1" x14ac:dyDescent="0.25">
      <c r="AI551" s="72"/>
      <c r="AJ551" s="72"/>
      <c r="AK551" s="72"/>
      <c r="AL551" s="72"/>
      <c r="AM551" s="72"/>
      <c r="AN551" s="72"/>
      <c r="AO551" s="72"/>
    </row>
    <row r="552" spans="35:41" ht="15.75" customHeight="1" x14ac:dyDescent="0.25">
      <c r="AI552" s="72"/>
      <c r="AJ552" s="72"/>
      <c r="AK552" s="72"/>
      <c r="AL552" s="72"/>
      <c r="AM552" s="72"/>
      <c r="AN552" s="72"/>
      <c r="AO552" s="72"/>
    </row>
    <row r="553" spans="35:41" ht="15.75" customHeight="1" x14ac:dyDescent="0.25">
      <c r="AI553" s="72"/>
      <c r="AJ553" s="72"/>
      <c r="AK553" s="72"/>
      <c r="AL553" s="72"/>
      <c r="AM553" s="72"/>
      <c r="AN553" s="72"/>
      <c r="AO553" s="72"/>
    </row>
    <row r="554" spans="35:41" ht="15.75" customHeight="1" x14ac:dyDescent="0.25">
      <c r="AI554" s="72"/>
      <c r="AJ554" s="72"/>
      <c r="AK554" s="72"/>
      <c r="AL554" s="72"/>
      <c r="AM554" s="72"/>
      <c r="AN554" s="72"/>
      <c r="AO554" s="72"/>
    </row>
    <row r="555" spans="35:41" ht="15.75" customHeight="1" x14ac:dyDescent="0.25">
      <c r="AI555" s="72"/>
      <c r="AJ555" s="72"/>
      <c r="AK555" s="72"/>
      <c r="AL555" s="72"/>
      <c r="AM555" s="72"/>
      <c r="AN555" s="72"/>
      <c r="AO555" s="72"/>
    </row>
    <row r="556" spans="35:41" ht="15.75" customHeight="1" x14ac:dyDescent="0.25">
      <c r="AI556" s="72"/>
      <c r="AJ556" s="72"/>
      <c r="AK556" s="72"/>
      <c r="AL556" s="72"/>
      <c r="AM556" s="72"/>
      <c r="AN556" s="72"/>
      <c r="AO556" s="72"/>
    </row>
    <row r="557" spans="35:41" ht="15.75" customHeight="1" x14ac:dyDescent="0.25">
      <c r="AI557" s="72"/>
      <c r="AJ557" s="72"/>
      <c r="AK557" s="72"/>
      <c r="AL557" s="72"/>
      <c r="AM557" s="72"/>
      <c r="AN557" s="72"/>
      <c r="AO557" s="72"/>
    </row>
    <row r="558" spans="35:41" ht="15.75" customHeight="1" x14ac:dyDescent="0.25">
      <c r="AI558" s="72"/>
      <c r="AJ558" s="72"/>
      <c r="AK558" s="72"/>
      <c r="AL558" s="72"/>
      <c r="AM558" s="72"/>
      <c r="AN558" s="72"/>
      <c r="AO558" s="72"/>
    </row>
    <row r="559" spans="35:41" ht="15.75" customHeight="1" x14ac:dyDescent="0.25">
      <c r="AI559" s="72"/>
      <c r="AJ559" s="72"/>
      <c r="AK559" s="72"/>
      <c r="AL559" s="72"/>
      <c r="AM559" s="72"/>
      <c r="AN559" s="72"/>
      <c r="AO559" s="72"/>
    </row>
    <row r="560" spans="35:41" ht="15.75" customHeight="1" x14ac:dyDescent="0.25">
      <c r="AI560" s="72"/>
      <c r="AJ560" s="72"/>
      <c r="AK560" s="72"/>
      <c r="AL560" s="72"/>
      <c r="AM560" s="72"/>
      <c r="AN560" s="72"/>
      <c r="AO560" s="72"/>
    </row>
    <row r="561" spans="35:41" ht="15.75" customHeight="1" x14ac:dyDescent="0.25">
      <c r="AI561" s="72"/>
      <c r="AJ561" s="72"/>
      <c r="AK561" s="72"/>
      <c r="AL561" s="72"/>
      <c r="AM561" s="72"/>
      <c r="AN561" s="72"/>
      <c r="AO561" s="72"/>
    </row>
    <row r="562" spans="35:41" ht="15.75" customHeight="1" x14ac:dyDescent="0.25">
      <c r="AI562" s="72"/>
      <c r="AJ562" s="72"/>
      <c r="AK562" s="72"/>
      <c r="AL562" s="72"/>
      <c r="AM562" s="72"/>
      <c r="AN562" s="72"/>
      <c r="AO562" s="72"/>
    </row>
    <row r="563" spans="35:41" ht="15.75" customHeight="1" x14ac:dyDescent="0.25">
      <c r="AI563" s="72"/>
      <c r="AJ563" s="72"/>
      <c r="AK563" s="72"/>
      <c r="AL563" s="72"/>
      <c r="AM563" s="72"/>
      <c r="AN563" s="72"/>
      <c r="AO563" s="72"/>
    </row>
    <row r="564" spans="35:41" ht="15.75" customHeight="1" x14ac:dyDescent="0.25">
      <c r="AI564" s="72"/>
      <c r="AJ564" s="72"/>
      <c r="AK564" s="72"/>
      <c r="AL564" s="72"/>
      <c r="AM564" s="72"/>
      <c r="AN564" s="72"/>
      <c r="AO564" s="72"/>
    </row>
    <row r="565" spans="35:41" ht="15.75" customHeight="1" x14ac:dyDescent="0.25">
      <c r="AI565" s="72"/>
      <c r="AJ565" s="72"/>
      <c r="AK565" s="72"/>
      <c r="AL565" s="72"/>
      <c r="AM565" s="72"/>
      <c r="AN565" s="72"/>
      <c r="AO565" s="72"/>
    </row>
    <row r="566" spans="35:41" ht="15.75" customHeight="1" x14ac:dyDescent="0.25">
      <c r="AI566" s="72"/>
      <c r="AJ566" s="72"/>
      <c r="AK566" s="72"/>
      <c r="AL566" s="72"/>
      <c r="AM566" s="72"/>
      <c r="AN566" s="72"/>
      <c r="AO566" s="72"/>
    </row>
    <row r="567" spans="35:41" ht="15.75" customHeight="1" x14ac:dyDescent="0.25">
      <c r="AI567" s="72"/>
      <c r="AJ567" s="72"/>
      <c r="AK567" s="72"/>
      <c r="AL567" s="72"/>
      <c r="AM567" s="72"/>
      <c r="AN567" s="72"/>
      <c r="AO567" s="72"/>
    </row>
    <row r="568" spans="35:41" ht="15.75" customHeight="1" x14ac:dyDescent="0.25">
      <c r="AI568" s="72"/>
      <c r="AJ568" s="72"/>
      <c r="AK568" s="72"/>
      <c r="AL568" s="72"/>
      <c r="AM568" s="72"/>
      <c r="AN568" s="72"/>
      <c r="AO568" s="72"/>
    </row>
    <row r="569" spans="35:41" ht="15.75" customHeight="1" x14ac:dyDescent="0.25">
      <c r="AI569" s="72"/>
      <c r="AJ569" s="72"/>
      <c r="AK569" s="72"/>
      <c r="AL569" s="72"/>
      <c r="AM569" s="72"/>
      <c r="AN569" s="72"/>
      <c r="AO569" s="72"/>
    </row>
    <row r="570" spans="35:41" ht="15.75" customHeight="1" x14ac:dyDescent="0.25">
      <c r="AI570" s="72"/>
      <c r="AJ570" s="72"/>
      <c r="AK570" s="72"/>
      <c r="AL570" s="72"/>
      <c r="AM570" s="72"/>
      <c r="AN570" s="72"/>
      <c r="AO570" s="72"/>
    </row>
    <row r="571" spans="35:41" ht="15.75" customHeight="1" x14ac:dyDescent="0.25">
      <c r="AI571" s="72"/>
      <c r="AJ571" s="72"/>
      <c r="AK571" s="72"/>
      <c r="AL571" s="72"/>
      <c r="AM571" s="72"/>
      <c r="AN571" s="72"/>
      <c r="AO571" s="72"/>
    </row>
    <row r="572" spans="35:41" ht="15.75" customHeight="1" x14ac:dyDescent="0.25">
      <c r="AI572" s="72"/>
      <c r="AJ572" s="72"/>
      <c r="AK572" s="72"/>
      <c r="AL572" s="72"/>
      <c r="AM572" s="72"/>
      <c r="AN572" s="72"/>
      <c r="AO572" s="72"/>
    </row>
    <row r="573" spans="35:41" ht="15.75" customHeight="1" x14ac:dyDescent="0.25">
      <c r="AI573" s="72"/>
      <c r="AJ573" s="72"/>
      <c r="AK573" s="72"/>
      <c r="AL573" s="72"/>
      <c r="AM573" s="72"/>
      <c r="AN573" s="72"/>
      <c r="AO573" s="72"/>
    </row>
    <row r="574" spans="35:41" ht="15.75" customHeight="1" x14ac:dyDescent="0.25">
      <c r="AI574" s="72"/>
      <c r="AJ574" s="72"/>
      <c r="AK574" s="72"/>
      <c r="AL574" s="72"/>
      <c r="AM574" s="72"/>
      <c r="AN574" s="72"/>
      <c r="AO574" s="72"/>
    </row>
    <row r="575" spans="35:41" ht="15.75" customHeight="1" x14ac:dyDescent="0.25">
      <c r="AI575" s="72"/>
      <c r="AJ575" s="72"/>
      <c r="AK575" s="72"/>
      <c r="AL575" s="72"/>
      <c r="AM575" s="72"/>
      <c r="AN575" s="72"/>
      <c r="AO575" s="72"/>
    </row>
    <row r="576" spans="35:41" ht="15.75" customHeight="1" x14ac:dyDescent="0.25">
      <c r="AI576" s="72"/>
      <c r="AJ576" s="72"/>
      <c r="AK576" s="72"/>
      <c r="AL576" s="72"/>
      <c r="AM576" s="72"/>
      <c r="AN576" s="72"/>
      <c r="AO576" s="72"/>
    </row>
    <row r="577" spans="35:41" ht="15.75" customHeight="1" x14ac:dyDescent="0.25">
      <c r="AI577" s="72"/>
      <c r="AJ577" s="72"/>
      <c r="AK577" s="72"/>
      <c r="AL577" s="72"/>
      <c r="AM577" s="72"/>
      <c r="AN577" s="72"/>
      <c r="AO577" s="72"/>
    </row>
    <row r="578" spans="35:41" ht="15.75" customHeight="1" x14ac:dyDescent="0.25">
      <c r="AI578" s="72"/>
      <c r="AJ578" s="72"/>
      <c r="AK578" s="72"/>
      <c r="AL578" s="72"/>
      <c r="AM578" s="72"/>
      <c r="AN578" s="72"/>
      <c r="AO578" s="72"/>
    </row>
    <row r="579" spans="35:41" ht="15.75" customHeight="1" x14ac:dyDescent="0.25">
      <c r="AI579" s="72"/>
      <c r="AJ579" s="72"/>
      <c r="AK579" s="72"/>
      <c r="AL579" s="72"/>
      <c r="AM579" s="72"/>
      <c r="AN579" s="72"/>
      <c r="AO579" s="72"/>
    </row>
    <row r="580" spans="35:41" ht="15.75" customHeight="1" x14ac:dyDescent="0.25">
      <c r="AI580" s="72"/>
      <c r="AJ580" s="72"/>
      <c r="AK580" s="72"/>
      <c r="AL580" s="72"/>
      <c r="AM580" s="72"/>
      <c r="AN580" s="72"/>
      <c r="AO580" s="72"/>
    </row>
    <row r="581" spans="35:41" ht="15.75" customHeight="1" x14ac:dyDescent="0.25">
      <c r="AI581" s="72"/>
      <c r="AJ581" s="72"/>
      <c r="AK581" s="72"/>
      <c r="AL581" s="72"/>
      <c r="AM581" s="72"/>
      <c r="AN581" s="72"/>
      <c r="AO581" s="72"/>
    </row>
    <row r="582" spans="35:41" ht="15.75" customHeight="1" x14ac:dyDescent="0.25">
      <c r="AI582" s="72"/>
      <c r="AJ582" s="72"/>
      <c r="AK582" s="72"/>
      <c r="AL582" s="72"/>
      <c r="AM582" s="72"/>
      <c r="AN582" s="72"/>
      <c r="AO582" s="72"/>
    </row>
    <row r="583" spans="35:41" ht="15.75" customHeight="1" x14ac:dyDescent="0.25">
      <c r="AI583" s="72"/>
      <c r="AJ583" s="72"/>
      <c r="AK583" s="72"/>
      <c r="AL583" s="72"/>
      <c r="AM583" s="72"/>
      <c r="AN583" s="72"/>
      <c r="AO583" s="72"/>
    </row>
    <row r="584" spans="35:41" ht="15.75" customHeight="1" x14ac:dyDescent="0.25">
      <c r="AI584" s="72"/>
      <c r="AJ584" s="72"/>
      <c r="AK584" s="72"/>
      <c r="AL584" s="72"/>
      <c r="AM584" s="72"/>
      <c r="AN584" s="72"/>
      <c r="AO584" s="72"/>
    </row>
    <row r="585" spans="35:41" ht="15.75" customHeight="1" x14ac:dyDescent="0.25">
      <c r="AI585" s="72"/>
      <c r="AJ585" s="72"/>
      <c r="AK585" s="72"/>
      <c r="AL585" s="72"/>
      <c r="AM585" s="72"/>
      <c r="AN585" s="72"/>
      <c r="AO585" s="72"/>
    </row>
    <row r="586" spans="35:41" ht="15.75" customHeight="1" x14ac:dyDescent="0.25">
      <c r="AI586" s="72"/>
      <c r="AJ586" s="72"/>
      <c r="AK586" s="72"/>
      <c r="AL586" s="72"/>
      <c r="AM586" s="72"/>
      <c r="AN586" s="72"/>
      <c r="AO586" s="72"/>
    </row>
    <row r="587" spans="35:41" ht="15.75" customHeight="1" x14ac:dyDescent="0.25">
      <c r="AI587" s="72"/>
      <c r="AJ587" s="72"/>
      <c r="AK587" s="72"/>
      <c r="AL587" s="72"/>
      <c r="AM587" s="72"/>
      <c r="AN587" s="72"/>
      <c r="AO587" s="72"/>
    </row>
    <row r="588" spans="35:41" ht="15.75" customHeight="1" x14ac:dyDescent="0.25">
      <c r="AI588" s="72"/>
      <c r="AJ588" s="72"/>
      <c r="AK588" s="72"/>
      <c r="AL588" s="72"/>
      <c r="AM588" s="72"/>
      <c r="AN588" s="72"/>
      <c r="AO588" s="72"/>
    </row>
    <row r="589" spans="35:41" ht="15.75" customHeight="1" x14ac:dyDescent="0.25">
      <c r="AI589" s="72"/>
      <c r="AJ589" s="72"/>
      <c r="AK589" s="72"/>
      <c r="AL589" s="72"/>
      <c r="AM589" s="72"/>
      <c r="AN589" s="72"/>
      <c r="AO589" s="72"/>
    </row>
    <row r="590" spans="35:41" ht="15.75" customHeight="1" x14ac:dyDescent="0.25">
      <c r="AI590" s="72"/>
      <c r="AJ590" s="72"/>
      <c r="AK590" s="72"/>
      <c r="AL590" s="72"/>
      <c r="AM590" s="72"/>
      <c r="AN590" s="72"/>
      <c r="AO590" s="72"/>
    </row>
    <row r="591" spans="35:41" ht="15.75" customHeight="1" x14ac:dyDescent="0.25">
      <c r="AI591" s="72"/>
      <c r="AJ591" s="72"/>
      <c r="AK591" s="72"/>
      <c r="AL591" s="72"/>
      <c r="AM591" s="72"/>
      <c r="AN591" s="72"/>
      <c r="AO591" s="72"/>
    </row>
    <row r="592" spans="35:41" ht="15.75" customHeight="1" x14ac:dyDescent="0.25">
      <c r="AI592" s="72"/>
      <c r="AJ592" s="72"/>
      <c r="AK592" s="72"/>
      <c r="AL592" s="72"/>
      <c r="AM592" s="72"/>
      <c r="AN592" s="72"/>
      <c r="AO592" s="72"/>
    </row>
    <row r="593" spans="35:41" ht="15.75" customHeight="1" x14ac:dyDescent="0.25">
      <c r="AI593" s="72"/>
      <c r="AJ593" s="72"/>
      <c r="AK593" s="72"/>
      <c r="AL593" s="72"/>
      <c r="AM593" s="72"/>
      <c r="AN593" s="72"/>
      <c r="AO593" s="72"/>
    </row>
    <row r="594" spans="35:41" ht="15.75" customHeight="1" x14ac:dyDescent="0.25">
      <c r="AI594" s="72"/>
      <c r="AJ594" s="72"/>
      <c r="AK594" s="72"/>
      <c r="AL594" s="72"/>
      <c r="AM594" s="72"/>
      <c r="AN594" s="72"/>
      <c r="AO594" s="72"/>
    </row>
    <row r="595" spans="35:41" ht="15.75" customHeight="1" x14ac:dyDescent="0.25">
      <c r="AI595" s="72"/>
      <c r="AJ595" s="72"/>
      <c r="AK595" s="72"/>
      <c r="AL595" s="72"/>
      <c r="AM595" s="72"/>
      <c r="AN595" s="72"/>
      <c r="AO595" s="72"/>
    </row>
    <row r="596" spans="35:41" ht="15.75" customHeight="1" x14ac:dyDescent="0.25">
      <c r="AI596" s="72"/>
      <c r="AJ596" s="72"/>
      <c r="AK596" s="72"/>
      <c r="AL596" s="72"/>
      <c r="AM596" s="72"/>
      <c r="AN596" s="72"/>
      <c r="AO596" s="72"/>
    </row>
    <row r="597" spans="35:41" ht="15.75" customHeight="1" x14ac:dyDescent="0.25">
      <c r="AI597" s="72"/>
      <c r="AJ597" s="72"/>
      <c r="AK597" s="72"/>
      <c r="AL597" s="72"/>
      <c r="AM597" s="72"/>
      <c r="AN597" s="72"/>
      <c r="AO597" s="72"/>
    </row>
    <row r="598" spans="35:41" ht="15.75" customHeight="1" x14ac:dyDescent="0.25">
      <c r="AI598" s="72"/>
      <c r="AJ598" s="72"/>
      <c r="AK598" s="72"/>
      <c r="AL598" s="72"/>
      <c r="AM598" s="72"/>
      <c r="AN598" s="72"/>
      <c r="AO598" s="72"/>
    </row>
    <row r="599" spans="35:41" ht="15.75" customHeight="1" x14ac:dyDescent="0.25">
      <c r="AI599" s="72"/>
      <c r="AJ599" s="72"/>
      <c r="AK599" s="72"/>
      <c r="AL599" s="72"/>
      <c r="AM599" s="72"/>
      <c r="AN599" s="72"/>
      <c r="AO599" s="72"/>
    </row>
    <row r="600" spans="35:41" ht="15.75" customHeight="1" x14ac:dyDescent="0.25">
      <c r="AI600" s="72"/>
      <c r="AJ600" s="72"/>
      <c r="AK600" s="72"/>
      <c r="AL600" s="72"/>
      <c r="AM600" s="72"/>
      <c r="AN600" s="72"/>
      <c r="AO600" s="72"/>
    </row>
    <row r="601" spans="35:41" ht="15.75" customHeight="1" x14ac:dyDescent="0.25">
      <c r="AI601" s="72"/>
      <c r="AJ601" s="72"/>
      <c r="AK601" s="72"/>
      <c r="AL601" s="72"/>
      <c r="AM601" s="72"/>
      <c r="AN601" s="72"/>
      <c r="AO601" s="72"/>
    </row>
    <row r="602" spans="35:41" ht="15.75" customHeight="1" x14ac:dyDescent="0.25">
      <c r="AI602" s="72"/>
      <c r="AJ602" s="72"/>
      <c r="AK602" s="72"/>
      <c r="AL602" s="72"/>
      <c r="AM602" s="72"/>
      <c r="AN602" s="72"/>
      <c r="AO602" s="72"/>
    </row>
    <row r="603" spans="35:41" ht="15.75" customHeight="1" x14ac:dyDescent="0.25">
      <c r="AI603" s="72"/>
      <c r="AJ603" s="72"/>
      <c r="AK603" s="72"/>
      <c r="AL603" s="72"/>
      <c r="AM603" s="72"/>
      <c r="AN603" s="72"/>
      <c r="AO603" s="72"/>
    </row>
    <row r="604" spans="35:41" ht="15.75" customHeight="1" x14ac:dyDescent="0.25">
      <c r="AI604" s="72"/>
      <c r="AJ604" s="72"/>
      <c r="AK604" s="72"/>
      <c r="AL604" s="72"/>
      <c r="AM604" s="72"/>
      <c r="AN604" s="72"/>
      <c r="AO604" s="72"/>
    </row>
    <row r="605" spans="35:41" ht="15.75" customHeight="1" x14ac:dyDescent="0.25">
      <c r="AI605" s="72"/>
      <c r="AJ605" s="72"/>
      <c r="AK605" s="72"/>
      <c r="AL605" s="72"/>
      <c r="AM605" s="72"/>
      <c r="AN605" s="72"/>
      <c r="AO605" s="72"/>
    </row>
    <row r="606" spans="35:41" ht="15.75" customHeight="1" x14ac:dyDescent="0.25">
      <c r="AI606" s="72"/>
      <c r="AJ606" s="72"/>
      <c r="AK606" s="72"/>
      <c r="AL606" s="72"/>
      <c r="AM606" s="72"/>
      <c r="AN606" s="72"/>
      <c r="AO606" s="72"/>
    </row>
    <row r="607" spans="35:41" ht="15.75" customHeight="1" x14ac:dyDescent="0.25">
      <c r="AI607" s="72"/>
      <c r="AJ607" s="72"/>
      <c r="AK607" s="72"/>
      <c r="AL607" s="72"/>
      <c r="AM607" s="72"/>
      <c r="AN607" s="72"/>
      <c r="AO607" s="72"/>
    </row>
    <row r="608" spans="35:41" ht="15.75" customHeight="1" x14ac:dyDescent="0.25">
      <c r="AI608" s="72"/>
      <c r="AJ608" s="72"/>
      <c r="AK608" s="72"/>
      <c r="AL608" s="72"/>
      <c r="AM608" s="72"/>
      <c r="AN608" s="72"/>
      <c r="AO608" s="72"/>
    </row>
    <row r="609" spans="35:41" ht="15.75" customHeight="1" x14ac:dyDescent="0.25">
      <c r="AI609" s="72"/>
      <c r="AJ609" s="72"/>
      <c r="AK609" s="72"/>
      <c r="AL609" s="72"/>
      <c r="AM609" s="72"/>
      <c r="AN609" s="72"/>
      <c r="AO609" s="72"/>
    </row>
    <row r="610" spans="35:41" ht="15.75" customHeight="1" x14ac:dyDescent="0.25">
      <c r="AI610" s="72"/>
      <c r="AJ610" s="72"/>
      <c r="AK610" s="72"/>
      <c r="AL610" s="72"/>
      <c r="AM610" s="72"/>
      <c r="AN610" s="72"/>
      <c r="AO610" s="72"/>
    </row>
    <row r="611" spans="35:41" ht="15.75" customHeight="1" x14ac:dyDescent="0.25">
      <c r="AI611" s="72"/>
      <c r="AJ611" s="72"/>
      <c r="AK611" s="72"/>
      <c r="AL611" s="72"/>
      <c r="AM611" s="72"/>
      <c r="AN611" s="72"/>
      <c r="AO611" s="72"/>
    </row>
    <row r="612" spans="35:41" ht="15.75" customHeight="1" x14ac:dyDescent="0.25">
      <c r="AI612" s="72"/>
      <c r="AJ612" s="72"/>
      <c r="AK612" s="72"/>
      <c r="AL612" s="72"/>
      <c r="AM612" s="72"/>
      <c r="AN612" s="72"/>
      <c r="AO612" s="72"/>
    </row>
    <row r="613" spans="35:41" ht="15.75" customHeight="1" x14ac:dyDescent="0.25">
      <c r="AI613" s="72"/>
      <c r="AJ613" s="72"/>
      <c r="AK613" s="72"/>
      <c r="AL613" s="72"/>
      <c r="AM613" s="72"/>
      <c r="AN613" s="72"/>
      <c r="AO613" s="72"/>
    </row>
    <row r="614" spans="35:41" ht="15.75" customHeight="1" x14ac:dyDescent="0.25">
      <c r="AI614" s="72"/>
      <c r="AJ614" s="72"/>
      <c r="AK614" s="72"/>
      <c r="AL614" s="72"/>
      <c r="AM614" s="72"/>
      <c r="AN614" s="72"/>
      <c r="AO614" s="72"/>
    </row>
    <row r="615" spans="35:41" ht="15.75" customHeight="1" x14ac:dyDescent="0.25">
      <c r="AI615" s="72"/>
      <c r="AJ615" s="72"/>
      <c r="AK615" s="72"/>
      <c r="AL615" s="72"/>
      <c r="AM615" s="72"/>
      <c r="AN615" s="72"/>
      <c r="AO615" s="72"/>
    </row>
    <row r="616" spans="35:41" ht="15.75" customHeight="1" x14ac:dyDescent="0.25">
      <c r="AI616" s="72"/>
      <c r="AJ616" s="72"/>
      <c r="AK616" s="72"/>
      <c r="AL616" s="72"/>
      <c r="AM616" s="72"/>
      <c r="AN616" s="72"/>
      <c r="AO616" s="72"/>
    </row>
    <row r="617" spans="35:41" ht="15.75" customHeight="1" x14ac:dyDescent="0.25">
      <c r="AI617" s="72"/>
      <c r="AJ617" s="72"/>
      <c r="AK617" s="72"/>
      <c r="AL617" s="72"/>
      <c r="AM617" s="72"/>
      <c r="AN617" s="72"/>
      <c r="AO617" s="72"/>
    </row>
    <row r="618" spans="35:41" ht="15.75" customHeight="1" x14ac:dyDescent="0.25">
      <c r="AI618" s="72"/>
      <c r="AJ618" s="72"/>
      <c r="AK618" s="72"/>
      <c r="AL618" s="72"/>
      <c r="AM618" s="72"/>
      <c r="AN618" s="72"/>
      <c r="AO618" s="72"/>
    </row>
    <row r="619" spans="35:41" ht="15.75" customHeight="1" x14ac:dyDescent="0.25">
      <c r="AI619" s="72"/>
      <c r="AJ619" s="72"/>
      <c r="AK619" s="72"/>
      <c r="AL619" s="72"/>
      <c r="AM619" s="72"/>
      <c r="AN619" s="72"/>
      <c r="AO619" s="72"/>
    </row>
    <row r="620" spans="35:41" ht="15.75" customHeight="1" x14ac:dyDescent="0.25">
      <c r="AI620" s="72"/>
      <c r="AJ620" s="72"/>
      <c r="AK620" s="72"/>
      <c r="AL620" s="72"/>
      <c r="AM620" s="72"/>
      <c r="AN620" s="72"/>
      <c r="AO620" s="72"/>
    </row>
    <row r="621" spans="35:41" ht="15.75" customHeight="1" x14ac:dyDescent="0.25">
      <c r="AI621" s="72"/>
      <c r="AJ621" s="72"/>
      <c r="AK621" s="72"/>
      <c r="AL621" s="72"/>
      <c r="AM621" s="72"/>
      <c r="AN621" s="72"/>
      <c r="AO621" s="72"/>
    </row>
    <row r="622" spans="35:41" ht="15.75" customHeight="1" x14ac:dyDescent="0.25">
      <c r="AI622" s="72"/>
      <c r="AJ622" s="72"/>
      <c r="AK622" s="72"/>
      <c r="AL622" s="72"/>
      <c r="AM622" s="72"/>
      <c r="AN622" s="72"/>
      <c r="AO622" s="72"/>
    </row>
    <row r="623" spans="35:41" ht="15.75" customHeight="1" x14ac:dyDescent="0.25">
      <c r="AI623" s="72"/>
      <c r="AJ623" s="72"/>
      <c r="AK623" s="72"/>
      <c r="AL623" s="72"/>
      <c r="AM623" s="72"/>
      <c r="AN623" s="72"/>
      <c r="AO623" s="72"/>
    </row>
    <row r="624" spans="35:41" ht="15.75" customHeight="1" x14ac:dyDescent="0.25">
      <c r="AI624" s="72"/>
      <c r="AJ624" s="72"/>
      <c r="AK624" s="72"/>
      <c r="AL624" s="72"/>
      <c r="AM624" s="72"/>
      <c r="AN624" s="72"/>
      <c r="AO624" s="72"/>
    </row>
    <row r="625" spans="35:41" ht="15.75" customHeight="1" x14ac:dyDescent="0.25">
      <c r="AI625" s="72"/>
      <c r="AJ625" s="72"/>
      <c r="AK625" s="72"/>
      <c r="AL625" s="72"/>
      <c r="AM625" s="72"/>
      <c r="AN625" s="72"/>
      <c r="AO625" s="72"/>
    </row>
    <row r="626" spans="35:41" ht="15.75" customHeight="1" x14ac:dyDescent="0.25">
      <c r="AI626" s="72"/>
      <c r="AJ626" s="72"/>
      <c r="AK626" s="72"/>
      <c r="AL626" s="72"/>
      <c r="AM626" s="72"/>
      <c r="AN626" s="72"/>
      <c r="AO626" s="72"/>
    </row>
    <row r="627" spans="35:41" ht="15.75" customHeight="1" x14ac:dyDescent="0.25">
      <c r="AI627" s="72"/>
      <c r="AJ627" s="72"/>
      <c r="AK627" s="72"/>
      <c r="AL627" s="72"/>
      <c r="AM627" s="72"/>
      <c r="AN627" s="72"/>
      <c r="AO627" s="72"/>
    </row>
    <row r="628" spans="35:41" ht="15.75" customHeight="1" x14ac:dyDescent="0.25">
      <c r="AI628" s="72"/>
      <c r="AJ628" s="72"/>
      <c r="AK628" s="72"/>
      <c r="AL628" s="72"/>
      <c r="AM628" s="72"/>
      <c r="AN628" s="72"/>
      <c r="AO628" s="72"/>
    </row>
    <row r="629" spans="35:41" ht="15.75" customHeight="1" x14ac:dyDescent="0.25">
      <c r="AI629" s="72"/>
      <c r="AJ629" s="72"/>
      <c r="AK629" s="72"/>
      <c r="AL629" s="72"/>
      <c r="AM629" s="72"/>
      <c r="AN629" s="72"/>
      <c r="AO629" s="72"/>
    </row>
    <row r="630" spans="35:41" ht="15.75" customHeight="1" x14ac:dyDescent="0.25">
      <c r="AI630" s="72"/>
      <c r="AJ630" s="72"/>
      <c r="AK630" s="72"/>
      <c r="AL630" s="72"/>
      <c r="AM630" s="72"/>
      <c r="AN630" s="72"/>
      <c r="AO630" s="72"/>
    </row>
    <row r="631" spans="35:41" ht="15.75" customHeight="1" x14ac:dyDescent="0.25">
      <c r="AI631" s="72"/>
      <c r="AJ631" s="72"/>
      <c r="AK631" s="72"/>
      <c r="AL631" s="72"/>
      <c r="AM631" s="72"/>
      <c r="AN631" s="72"/>
      <c r="AO631" s="72"/>
    </row>
    <row r="632" spans="35:41" ht="15.75" customHeight="1" x14ac:dyDescent="0.25">
      <c r="AI632" s="72"/>
      <c r="AJ632" s="72"/>
      <c r="AK632" s="72"/>
      <c r="AL632" s="72"/>
      <c r="AM632" s="72"/>
      <c r="AN632" s="72"/>
      <c r="AO632" s="72"/>
    </row>
    <row r="633" spans="35:41" ht="15.75" customHeight="1" x14ac:dyDescent="0.25">
      <c r="AI633" s="72"/>
      <c r="AJ633" s="72"/>
      <c r="AK633" s="72"/>
      <c r="AL633" s="72"/>
      <c r="AM633" s="72"/>
      <c r="AN633" s="72"/>
      <c r="AO633" s="72"/>
    </row>
    <row r="634" spans="35:41" ht="15.75" customHeight="1" x14ac:dyDescent="0.25">
      <c r="AI634" s="72"/>
      <c r="AJ634" s="72"/>
      <c r="AK634" s="72"/>
      <c r="AL634" s="72"/>
      <c r="AM634" s="72"/>
      <c r="AN634" s="72"/>
      <c r="AO634" s="72"/>
    </row>
    <row r="635" spans="35:41" ht="15.75" customHeight="1" x14ac:dyDescent="0.25">
      <c r="AI635" s="72"/>
      <c r="AJ635" s="72"/>
      <c r="AK635" s="72"/>
      <c r="AL635" s="72"/>
      <c r="AM635" s="72"/>
      <c r="AN635" s="72"/>
      <c r="AO635" s="72"/>
    </row>
    <row r="636" spans="35:41" ht="15.75" customHeight="1" x14ac:dyDescent="0.25">
      <c r="AI636" s="72"/>
      <c r="AJ636" s="72"/>
      <c r="AK636" s="72"/>
      <c r="AL636" s="72"/>
      <c r="AM636" s="72"/>
      <c r="AN636" s="72"/>
      <c r="AO636" s="72"/>
    </row>
    <row r="637" spans="35:41" ht="15.75" customHeight="1" x14ac:dyDescent="0.25">
      <c r="AI637" s="72"/>
      <c r="AJ637" s="72"/>
      <c r="AK637" s="72"/>
      <c r="AL637" s="72"/>
      <c r="AM637" s="72"/>
      <c r="AN637" s="72"/>
      <c r="AO637" s="72"/>
    </row>
    <row r="638" spans="35:41" ht="15.75" customHeight="1" x14ac:dyDescent="0.25">
      <c r="AI638" s="72"/>
      <c r="AJ638" s="72"/>
      <c r="AK638" s="72"/>
      <c r="AL638" s="72"/>
      <c r="AM638" s="72"/>
      <c r="AN638" s="72"/>
      <c r="AO638" s="72"/>
    </row>
    <row r="639" spans="35:41" ht="15.75" customHeight="1" x14ac:dyDescent="0.25">
      <c r="AI639" s="72"/>
      <c r="AJ639" s="72"/>
      <c r="AK639" s="72"/>
      <c r="AL639" s="72"/>
      <c r="AM639" s="72"/>
      <c r="AN639" s="72"/>
      <c r="AO639" s="72"/>
    </row>
    <row r="640" spans="35:41" ht="15.75" customHeight="1" x14ac:dyDescent="0.25">
      <c r="AI640" s="72"/>
      <c r="AJ640" s="72"/>
      <c r="AK640" s="72"/>
      <c r="AL640" s="72"/>
      <c r="AM640" s="72"/>
      <c r="AN640" s="72"/>
      <c r="AO640" s="72"/>
    </row>
    <row r="641" spans="35:41" ht="15.75" customHeight="1" x14ac:dyDescent="0.25">
      <c r="AI641" s="72"/>
      <c r="AJ641" s="72"/>
      <c r="AK641" s="72"/>
      <c r="AL641" s="72"/>
      <c r="AM641" s="72"/>
      <c r="AN641" s="72"/>
      <c r="AO641" s="72"/>
    </row>
    <row r="642" spans="35:41" ht="15.75" customHeight="1" x14ac:dyDescent="0.25">
      <c r="AI642" s="72"/>
      <c r="AJ642" s="72"/>
      <c r="AK642" s="72"/>
      <c r="AL642" s="72"/>
      <c r="AM642" s="72"/>
      <c r="AN642" s="72"/>
      <c r="AO642" s="72"/>
    </row>
    <row r="643" spans="35:41" ht="15.75" customHeight="1" x14ac:dyDescent="0.25">
      <c r="AI643" s="72"/>
      <c r="AJ643" s="72"/>
      <c r="AK643" s="72"/>
      <c r="AL643" s="72"/>
      <c r="AM643" s="72"/>
      <c r="AN643" s="72"/>
      <c r="AO643" s="72"/>
    </row>
    <row r="644" spans="35:41" ht="15.75" customHeight="1" x14ac:dyDescent="0.25">
      <c r="AI644" s="72"/>
      <c r="AJ644" s="72"/>
      <c r="AK644" s="72"/>
      <c r="AL644" s="72"/>
      <c r="AM644" s="72"/>
      <c r="AN644" s="72"/>
      <c r="AO644" s="72"/>
    </row>
    <row r="645" spans="35:41" ht="15.75" customHeight="1" x14ac:dyDescent="0.25">
      <c r="AI645" s="72"/>
      <c r="AJ645" s="72"/>
      <c r="AK645" s="72"/>
      <c r="AL645" s="72"/>
      <c r="AM645" s="72"/>
      <c r="AN645" s="72"/>
      <c r="AO645" s="72"/>
    </row>
    <row r="646" spans="35:41" ht="15.75" customHeight="1" x14ac:dyDescent="0.25">
      <c r="AI646" s="72"/>
      <c r="AJ646" s="72"/>
      <c r="AK646" s="72"/>
      <c r="AL646" s="72"/>
      <c r="AM646" s="72"/>
      <c r="AN646" s="72"/>
      <c r="AO646" s="72"/>
    </row>
    <row r="647" spans="35:41" ht="15.75" customHeight="1" x14ac:dyDescent="0.25">
      <c r="AI647" s="72"/>
      <c r="AJ647" s="72"/>
      <c r="AK647" s="72"/>
      <c r="AL647" s="72"/>
      <c r="AM647" s="72"/>
      <c r="AN647" s="72"/>
      <c r="AO647" s="72"/>
    </row>
    <row r="648" spans="35:41" ht="15.75" customHeight="1" x14ac:dyDescent="0.25">
      <c r="AI648" s="72"/>
      <c r="AJ648" s="72"/>
      <c r="AK648" s="72"/>
      <c r="AL648" s="72"/>
      <c r="AM648" s="72"/>
      <c r="AN648" s="72"/>
      <c r="AO648" s="72"/>
    </row>
    <row r="649" spans="35:41" ht="15.75" customHeight="1" x14ac:dyDescent="0.25">
      <c r="AI649" s="72"/>
      <c r="AJ649" s="72"/>
      <c r="AK649" s="72"/>
      <c r="AL649" s="72"/>
      <c r="AM649" s="72"/>
      <c r="AN649" s="72"/>
      <c r="AO649" s="72"/>
    </row>
    <row r="650" spans="35:41" ht="15.75" customHeight="1" x14ac:dyDescent="0.25">
      <c r="AI650" s="72"/>
      <c r="AJ650" s="72"/>
      <c r="AK650" s="72"/>
      <c r="AL650" s="72"/>
      <c r="AM650" s="72"/>
      <c r="AN650" s="72"/>
      <c r="AO650" s="72"/>
    </row>
    <row r="651" spans="35:41" ht="15.75" customHeight="1" x14ac:dyDescent="0.25">
      <c r="AI651" s="72"/>
      <c r="AJ651" s="72"/>
      <c r="AK651" s="72"/>
      <c r="AL651" s="72"/>
      <c r="AM651" s="72"/>
      <c r="AN651" s="72"/>
      <c r="AO651" s="72"/>
    </row>
    <row r="652" spans="35:41" ht="15.75" customHeight="1" x14ac:dyDescent="0.25">
      <c r="AI652" s="72"/>
      <c r="AJ652" s="72"/>
      <c r="AK652" s="72"/>
      <c r="AL652" s="72"/>
      <c r="AM652" s="72"/>
      <c r="AN652" s="72"/>
      <c r="AO652" s="72"/>
    </row>
    <row r="653" spans="35:41" ht="15.75" customHeight="1" x14ac:dyDescent="0.25">
      <c r="AI653" s="72"/>
      <c r="AJ653" s="72"/>
      <c r="AK653" s="72"/>
      <c r="AL653" s="72"/>
      <c r="AM653" s="72"/>
      <c r="AN653" s="72"/>
      <c r="AO653" s="72"/>
    </row>
    <row r="654" spans="35:41" ht="15.75" customHeight="1" x14ac:dyDescent="0.25">
      <c r="AI654" s="72"/>
      <c r="AJ654" s="72"/>
      <c r="AK654" s="72"/>
      <c r="AL654" s="72"/>
      <c r="AM654" s="72"/>
      <c r="AN654" s="72"/>
      <c r="AO654" s="72"/>
    </row>
    <row r="655" spans="35:41" ht="15.75" customHeight="1" x14ac:dyDescent="0.25">
      <c r="AI655" s="72"/>
      <c r="AJ655" s="72"/>
      <c r="AK655" s="72"/>
      <c r="AL655" s="72"/>
      <c r="AM655" s="72"/>
      <c r="AN655" s="72"/>
      <c r="AO655" s="72"/>
    </row>
    <row r="656" spans="35:41" ht="15.75" customHeight="1" x14ac:dyDescent="0.25">
      <c r="AI656" s="72"/>
      <c r="AJ656" s="72"/>
      <c r="AK656" s="72"/>
      <c r="AL656" s="72"/>
      <c r="AM656" s="72"/>
      <c r="AN656" s="72"/>
      <c r="AO656" s="72"/>
    </row>
    <row r="657" spans="35:41" ht="15.75" customHeight="1" x14ac:dyDescent="0.25">
      <c r="AI657" s="72"/>
      <c r="AJ657" s="72"/>
      <c r="AK657" s="72"/>
      <c r="AL657" s="72"/>
      <c r="AM657" s="72"/>
      <c r="AN657" s="72"/>
      <c r="AO657" s="72"/>
    </row>
    <row r="658" spans="35:41" ht="15.75" customHeight="1" x14ac:dyDescent="0.25">
      <c r="AI658" s="72"/>
      <c r="AJ658" s="72"/>
      <c r="AK658" s="72"/>
      <c r="AL658" s="72"/>
      <c r="AM658" s="72"/>
      <c r="AN658" s="72"/>
      <c r="AO658" s="72"/>
    </row>
    <row r="659" spans="35:41" ht="15.75" customHeight="1" x14ac:dyDescent="0.25">
      <c r="AI659" s="72"/>
      <c r="AJ659" s="72"/>
      <c r="AK659" s="72"/>
      <c r="AL659" s="72"/>
      <c r="AM659" s="72"/>
      <c r="AN659" s="72"/>
      <c r="AO659" s="72"/>
    </row>
    <row r="660" spans="35:41" ht="15.75" customHeight="1" x14ac:dyDescent="0.25">
      <c r="AI660" s="72"/>
      <c r="AJ660" s="72"/>
      <c r="AK660" s="72"/>
      <c r="AL660" s="72"/>
      <c r="AM660" s="72"/>
      <c r="AN660" s="72"/>
      <c r="AO660" s="72"/>
    </row>
    <row r="661" spans="35:41" ht="15.75" customHeight="1" x14ac:dyDescent="0.25">
      <c r="AI661" s="72"/>
      <c r="AJ661" s="72"/>
      <c r="AK661" s="72"/>
      <c r="AL661" s="72"/>
      <c r="AM661" s="72"/>
      <c r="AN661" s="72"/>
      <c r="AO661" s="72"/>
    </row>
    <row r="662" spans="35:41" ht="15.75" customHeight="1" x14ac:dyDescent="0.25">
      <c r="AI662" s="72"/>
      <c r="AJ662" s="72"/>
      <c r="AK662" s="72"/>
      <c r="AL662" s="72"/>
      <c r="AM662" s="72"/>
      <c r="AN662" s="72"/>
      <c r="AO662" s="72"/>
    </row>
    <row r="663" spans="35:41" ht="15.75" customHeight="1" x14ac:dyDescent="0.25">
      <c r="AI663" s="72"/>
      <c r="AJ663" s="72"/>
      <c r="AK663" s="72"/>
      <c r="AL663" s="72"/>
      <c r="AM663" s="72"/>
      <c r="AN663" s="72"/>
      <c r="AO663" s="72"/>
    </row>
    <row r="664" spans="35:41" ht="15.75" customHeight="1" x14ac:dyDescent="0.25">
      <c r="AI664" s="72"/>
      <c r="AJ664" s="72"/>
      <c r="AK664" s="72"/>
      <c r="AL664" s="72"/>
      <c r="AM664" s="72"/>
      <c r="AN664" s="72"/>
      <c r="AO664" s="72"/>
    </row>
    <row r="665" spans="35:41" ht="15.75" customHeight="1" x14ac:dyDescent="0.25">
      <c r="AI665" s="72"/>
      <c r="AJ665" s="72"/>
      <c r="AK665" s="72"/>
      <c r="AL665" s="72"/>
      <c r="AM665" s="72"/>
      <c r="AN665" s="72"/>
      <c r="AO665" s="72"/>
    </row>
    <row r="666" spans="35:41" ht="15.75" customHeight="1" x14ac:dyDescent="0.25">
      <c r="AI666" s="72"/>
      <c r="AJ666" s="72"/>
      <c r="AK666" s="72"/>
      <c r="AL666" s="72"/>
      <c r="AM666" s="72"/>
      <c r="AN666" s="72"/>
      <c r="AO666" s="72"/>
    </row>
    <row r="667" spans="35:41" ht="15.75" customHeight="1" x14ac:dyDescent="0.25">
      <c r="AI667" s="72"/>
      <c r="AJ667" s="72"/>
      <c r="AK667" s="72"/>
      <c r="AL667" s="72"/>
      <c r="AM667" s="72"/>
      <c r="AN667" s="72"/>
      <c r="AO667" s="72"/>
    </row>
    <row r="668" spans="35:41" ht="15.75" customHeight="1" x14ac:dyDescent="0.25">
      <c r="AI668" s="72"/>
      <c r="AJ668" s="72"/>
      <c r="AK668" s="72"/>
      <c r="AL668" s="72"/>
      <c r="AM668" s="72"/>
      <c r="AN668" s="72"/>
      <c r="AO668" s="72"/>
    </row>
    <row r="669" spans="35:41" ht="15.75" customHeight="1" x14ac:dyDescent="0.25">
      <c r="AI669" s="72"/>
      <c r="AJ669" s="72"/>
      <c r="AK669" s="72"/>
      <c r="AL669" s="72"/>
      <c r="AM669" s="72"/>
      <c r="AN669" s="72"/>
      <c r="AO669" s="72"/>
    </row>
    <row r="670" spans="35:41" ht="15.75" customHeight="1" x14ac:dyDescent="0.25">
      <c r="AI670" s="72"/>
      <c r="AJ670" s="72"/>
      <c r="AK670" s="72"/>
      <c r="AL670" s="72"/>
      <c r="AM670" s="72"/>
      <c r="AN670" s="72"/>
      <c r="AO670" s="72"/>
    </row>
    <row r="671" spans="35:41" ht="15.75" customHeight="1" x14ac:dyDescent="0.25">
      <c r="AI671" s="72"/>
      <c r="AJ671" s="72"/>
      <c r="AK671" s="72"/>
      <c r="AL671" s="72"/>
      <c r="AM671" s="72"/>
      <c r="AN671" s="72"/>
      <c r="AO671" s="72"/>
    </row>
    <row r="672" spans="35:41" ht="15.75" customHeight="1" x14ac:dyDescent="0.25">
      <c r="AI672" s="72"/>
      <c r="AJ672" s="72"/>
      <c r="AK672" s="72"/>
      <c r="AL672" s="72"/>
      <c r="AM672" s="72"/>
      <c r="AN672" s="72"/>
      <c r="AO672" s="72"/>
    </row>
    <row r="673" spans="35:41" ht="15.75" customHeight="1" x14ac:dyDescent="0.25">
      <c r="AI673" s="72"/>
      <c r="AJ673" s="72"/>
      <c r="AK673" s="72"/>
      <c r="AL673" s="72"/>
      <c r="AM673" s="72"/>
      <c r="AN673" s="72"/>
      <c r="AO673" s="72"/>
    </row>
    <row r="674" spans="35:41" ht="15.75" customHeight="1" x14ac:dyDescent="0.25">
      <c r="AI674" s="72"/>
      <c r="AJ674" s="72"/>
      <c r="AK674" s="72"/>
      <c r="AL674" s="72"/>
      <c r="AM674" s="72"/>
      <c r="AN674" s="72"/>
      <c r="AO674" s="72"/>
    </row>
    <row r="675" spans="35:41" ht="15.75" customHeight="1" x14ac:dyDescent="0.25">
      <c r="AI675" s="72"/>
      <c r="AJ675" s="72"/>
      <c r="AK675" s="72"/>
      <c r="AL675" s="72"/>
      <c r="AM675" s="72"/>
      <c r="AN675" s="72"/>
      <c r="AO675" s="72"/>
    </row>
    <row r="676" spans="35:41" ht="15.75" customHeight="1" x14ac:dyDescent="0.25">
      <c r="AI676" s="72"/>
      <c r="AJ676" s="72"/>
      <c r="AK676" s="72"/>
      <c r="AL676" s="72"/>
      <c r="AM676" s="72"/>
      <c r="AN676" s="72"/>
      <c r="AO676" s="72"/>
    </row>
    <row r="677" spans="35:41" ht="15.75" customHeight="1" x14ac:dyDescent="0.25">
      <c r="AI677" s="72"/>
      <c r="AJ677" s="72"/>
      <c r="AK677" s="72"/>
      <c r="AL677" s="72"/>
      <c r="AM677" s="72"/>
      <c r="AN677" s="72"/>
      <c r="AO677" s="72"/>
    </row>
    <row r="678" spans="35:41" ht="15.75" customHeight="1" x14ac:dyDescent="0.25">
      <c r="AI678" s="72"/>
      <c r="AJ678" s="72"/>
      <c r="AK678" s="72"/>
      <c r="AL678" s="72"/>
      <c r="AM678" s="72"/>
      <c r="AN678" s="72"/>
      <c r="AO678" s="72"/>
    </row>
    <row r="679" spans="35:41" ht="15.75" customHeight="1" x14ac:dyDescent="0.25">
      <c r="AI679" s="72"/>
      <c r="AJ679" s="72"/>
      <c r="AK679" s="72"/>
      <c r="AL679" s="72"/>
      <c r="AM679" s="72"/>
      <c r="AN679" s="72"/>
      <c r="AO679" s="72"/>
    </row>
    <row r="680" spans="35:41" ht="15.75" customHeight="1" x14ac:dyDescent="0.25">
      <c r="AI680" s="72"/>
      <c r="AJ680" s="72"/>
      <c r="AK680" s="72"/>
      <c r="AL680" s="72"/>
      <c r="AM680" s="72"/>
      <c r="AN680" s="72"/>
      <c r="AO680" s="72"/>
    </row>
    <row r="681" spans="35:41" ht="15.75" customHeight="1" x14ac:dyDescent="0.25">
      <c r="AI681" s="72"/>
      <c r="AJ681" s="72"/>
      <c r="AK681" s="72"/>
      <c r="AL681" s="72"/>
      <c r="AM681" s="72"/>
      <c r="AN681" s="72"/>
      <c r="AO681" s="72"/>
    </row>
    <row r="682" spans="35:41" ht="15.75" customHeight="1" x14ac:dyDescent="0.25">
      <c r="AI682" s="72"/>
      <c r="AJ682" s="72"/>
      <c r="AK682" s="72"/>
      <c r="AL682" s="72"/>
      <c r="AM682" s="72"/>
      <c r="AN682" s="72"/>
      <c r="AO682" s="72"/>
    </row>
    <row r="683" spans="35:41" ht="15.75" customHeight="1" x14ac:dyDescent="0.25">
      <c r="AI683" s="72"/>
      <c r="AJ683" s="72"/>
      <c r="AK683" s="72"/>
      <c r="AL683" s="72"/>
      <c r="AM683" s="72"/>
      <c r="AN683" s="72"/>
      <c r="AO683" s="72"/>
    </row>
    <row r="684" spans="35:41" ht="15.75" customHeight="1" x14ac:dyDescent="0.25">
      <c r="AI684" s="72"/>
      <c r="AJ684" s="72"/>
      <c r="AK684" s="72"/>
      <c r="AL684" s="72"/>
      <c r="AM684" s="72"/>
      <c r="AN684" s="72"/>
      <c r="AO684" s="72"/>
    </row>
    <row r="685" spans="35:41" ht="15.75" customHeight="1" x14ac:dyDescent="0.25">
      <c r="AI685" s="72"/>
      <c r="AJ685" s="72"/>
      <c r="AK685" s="72"/>
      <c r="AL685" s="72"/>
      <c r="AM685" s="72"/>
      <c r="AN685" s="72"/>
      <c r="AO685" s="72"/>
    </row>
    <row r="686" spans="35:41" ht="15.75" customHeight="1" x14ac:dyDescent="0.25">
      <c r="AI686" s="72"/>
      <c r="AJ686" s="72"/>
      <c r="AK686" s="72"/>
      <c r="AL686" s="72"/>
      <c r="AM686" s="72"/>
      <c r="AN686" s="72"/>
      <c r="AO686" s="72"/>
    </row>
    <row r="687" spans="35:41" ht="15.75" customHeight="1" x14ac:dyDescent="0.25">
      <c r="AI687" s="72"/>
      <c r="AJ687" s="72"/>
      <c r="AK687" s="72"/>
      <c r="AL687" s="72"/>
      <c r="AM687" s="72"/>
      <c r="AN687" s="72"/>
      <c r="AO687" s="72"/>
    </row>
    <row r="688" spans="35:41" ht="15.75" customHeight="1" x14ac:dyDescent="0.25">
      <c r="AI688" s="72"/>
      <c r="AJ688" s="72"/>
      <c r="AK688" s="72"/>
      <c r="AL688" s="72"/>
      <c r="AM688" s="72"/>
      <c r="AN688" s="72"/>
      <c r="AO688" s="72"/>
    </row>
    <row r="689" spans="35:41" ht="15.75" customHeight="1" x14ac:dyDescent="0.25">
      <c r="AI689" s="72"/>
      <c r="AJ689" s="72"/>
      <c r="AK689" s="72"/>
      <c r="AL689" s="72"/>
      <c r="AM689" s="72"/>
      <c r="AN689" s="72"/>
      <c r="AO689" s="72"/>
    </row>
    <row r="690" spans="35:41" ht="15.75" customHeight="1" x14ac:dyDescent="0.25">
      <c r="AI690" s="72"/>
      <c r="AJ690" s="72"/>
      <c r="AK690" s="72"/>
      <c r="AL690" s="72"/>
      <c r="AM690" s="72"/>
      <c r="AN690" s="72"/>
      <c r="AO690" s="72"/>
    </row>
    <row r="691" spans="35:41" ht="15.75" customHeight="1" x14ac:dyDescent="0.25">
      <c r="AI691" s="72"/>
      <c r="AJ691" s="72"/>
      <c r="AK691" s="72"/>
      <c r="AL691" s="72"/>
      <c r="AM691" s="72"/>
      <c r="AN691" s="72"/>
      <c r="AO691" s="72"/>
    </row>
    <row r="692" spans="35:41" ht="15.75" customHeight="1" x14ac:dyDescent="0.25">
      <c r="AI692" s="72"/>
      <c r="AJ692" s="72"/>
      <c r="AK692" s="72"/>
      <c r="AL692" s="72"/>
      <c r="AM692" s="72"/>
      <c r="AN692" s="72"/>
      <c r="AO692" s="72"/>
    </row>
    <row r="693" spans="35:41" ht="15.75" customHeight="1" x14ac:dyDescent="0.25">
      <c r="AI693" s="72"/>
      <c r="AJ693" s="72"/>
      <c r="AK693" s="72"/>
      <c r="AL693" s="72"/>
      <c r="AM693" s="72"/>
      <c r="AN693" s="72"/>
      <c r="AO693" s="72"/>
    </row>
    <row r="694" spans="35:41" ht="15.75" customHeight="1" x14ac:dyDescent="0.25">
      <c r="AI694" s="72"/>
      <c r="AJ694" s="72"/>
      <c r="AK694" s="72"/>
      <c r="AL694" s="72"/>
      <c r="AM694" s="72"/>
      <c r="AN694" s="72"/>
      <c r="AO694" s="72"/>
    </row>
    <row r="695" spans="35:41" ht="15.75" customHeight="1" x14ac:dyDescent="0.25">
      <c r="AI695" s="72"/>
      <c r="AJ695" s="72"/>
      <c r="AK695" s="72"/>
      <c r="AL695" s="72"/>
      <c r="AM695" s="72"/>
      <c r="AN695" s="72"/>
      <c r="AO695" s="72"/>
    </row>
    <row r="696" spans="35:41" ht="15.75" customHeight="1" x14ac:dyDescent="0.25">
      <c r="AI696" s="72"/>
      <c r="AJ696" s="72"/>
      <c r="AK696" s="72"/>
      <c r="AL696" s="72"/>
      <c r="AM696" s="72"/>
      <c r="AN696" s="72"/>
      <c r="AO696" s="72"/>
    </row>
    <row r="697" spans="35:41" ht="15.75" customHeight="1" x14ac:dyDescent="0.25">
      <c r="AI697" s="72"/>
      <c r="AJ697" s="72"/>
      <c r="AK697" s="72"/>
      <c r="AL697" s="72"/>
      <c r="AM697" s="72"/>
      <c r="AN697" s="72"/>
      <c r="AO697" s="72"/>
    </row>
    <row r="698" spans="35:41" ht="15.75" customHeight="1" x14ac:dyDescent="0.25">
      <c r="AI698" s="72"/>
      <c r="AJ698" s="72"/>
      <c r="AK698" s="72"/>
      <c r="AL698" s="72"/>
      <c r="AM698" s="72"/>
      <c r="AN698" s="72"/>
      <c r="AO698" s="72"/>
    </row>
    <row r="699" spans="35:41" ht="15.75" customHeight="1" x14ac:dyDescent="0.25">
      <c r="AI699" s="72"/>
      <c r="AJ699" s="72"/>
      <c r="AK699" s="72"/>
      <c r="AL699" s="72"/>
      <c r="AM699" s="72"/>
      <c r="AN699" s="72"/>
      <c r="AO699" s="72"/>
    </row>
    <row r="700" spans="35:41" ht="15.75" customHeight="1" x14ac:dyDescent="0.25">
      <c r="AI700" s="72"/>
      <c r="AJ700" s="72"/>
      <c r="AK700" s="72"/>
      <c r="AL700" s="72"/>
      <c r="AM700" s="72"/>
      <c r="AN700" s="72"/>
      <c r="AO700" s="72"/>
    </row>
    <row r="701" spans="35:41" ht="15.75" customHeight="1" x14ac:dyDescent="0.25">
      <c r="AI701" s="72"/>
      <c r="AJ701" s="72"/>
      <c r="AK701" s="72"/>
      <c r="AL701" s="72"/>
      <c r="AM701" s="72"/>
      <c r="AN701" s="72"/>
      <c r="AO701" s="72"/>
    </row>
    <row r="702" spans="35:41" ht="15.75" customHeight="1" x14ac:dyDescent="0.25">
      <c r="AI702" s="72"/>
      <c r="AJ702" s="72"/>
      <c r="AK702" s="72"/>
      <c r="AL702" s="72"/>
      <c r="AM702" s="72"/>
      <c r="AN702" s="72"/>
      <c r="AO702" s="72"/>
    </row>
    <row r="703" spans="35:41" ht="15.75" customHeight="1" x14ac:dyDescent="0.25">
      <c r="AI703" s="72"/>
      <c r="AJ703" s="72"/>
      <c r="AK703" s="72"/>
      <c r="AL703" s="72"/>
      <c r="AM703" s="72"/>
      <c r="AN703" s="72"/>
      <c r="AO703" s="72"/>
    </row>
    <row r="704" spans="35:41" ht="15.75" customHeight="1" x14ac:dyDescent="0.25">
      <c r="AI704" s="72"/>
      <c r="AJ704" s="72"/>
      <c r="AK704" s="72"/>
      <c r="AL704" s="72"/>
      <c r="AM704" s="72"/>
      <c r="AN704" s="72"/>
      <c r="AO704" s="72"/>
    </row>
    <row r="705" spans="35:41" ht="15.75" customHeight="1" x14ac:dyDescent="0.25">
      <c r="AI705" s="72"/>
      <c r="AJ705" s="72"/>
      <c r="AK705" s="72"/>
      <c r="AL705" s="72"/>
      <c r="AM705" s="72"/>
      <c r="AN705" s="72"/>
      <c r="AO705" s="72"/>
    </row>
    <row r="706" spans="35:41" ht="15.75" customHeight="1" x14ac:dyDescent="0.25">
      <c r="AI706" s="72"/>
      <c r="AJ706" s="72"/>
      <c r="AK706" s="72"/>
      <c r="AL706" s="72"/>
      <c r="AM706" s="72"/>
      <c r="AN706" s="72"/>
      <c r="AO706" s="72"/>
    </row>
    <row r="707" spans="35:41" ht="15.75" customHeight="1" x14ac:dyDescent="0.25">
      <c r="AI707" s="72"/>
      <c r="AJ707" s="72"/>
      <c r="AK707" s="72"/>
      <c r="AL707" s="72"/>
      <c r="AM707" s="72"/>
      <c r="AN707" s="72"/>
      <c r="AO707" s="72"/>
    </row>
    <row r="708" spans="35:41" ht="15.75" customHeight="1" x14ac:dyDescent="0.25">
      <c r="AI708" s="72"/>
      <c r="AJ708" s="72"/>
      <c r="AK708" s="72"/>
      <c r="AL708" s="72"/>
      <c r="AM708" s="72"/>
      <c r="AN708" s="72"/>
      <c r="AO708" s="72"/>
    </row>
    <row r="709" spans="35:41" ht="15.75" customHeight="1" x14ac:dyDescent="0.25">
      <c r="AI709" s="72"/>
      <c r="AJ709" s="72"/>
      <c r="AK709" s="72"/>
      <c r="AL709" s="72"/>
      <c r="AM709" s="72"/>
      <c r="AN709" s="72"/>
      <c r="AO709" s="72"/>
    </row>
    <row r="710" spans="35:41" ht="15.75" customHeight="1" x14ac:dyDescent="0.25">
      <c r="AI710" s="72"/>
      <c r="AJ710" s="72"/>
      <c r="AK710" s="72"/>
      <c r="AL710" s="72"/>
      <c r="AM710" s="72"/>
      <c r="AN710" s="72"/>
      <c r="AO710" s="72"/>
    </row>
    <row r="711" spans="35:41" ht="15.75" customHeight="1" x14ac:dyDescent="0.25">
      <c r="AI711" s="72"/>
      <c r="AJ711" s="72"/>
      <c r="AK711" s="72"/>
      <c r="AL711" s="72"/>
      <c r="AM711" s="72"/>
      <c r="AN711" s="72"/>
      <c r="AO711" s="72"/>
    </row>
    <row r="712" spans="35:41" ht="15.75" customHeight="1" x14ac:dyDescent="0.25">
      <c r="AI712" s="72"/>
      <c r="AJ712" s="72"/>
      <c r="AK712" s="72"/>
      <c r="AL712" s="72"/>
      <c r="AM712" s="72"/>
      <c r="AN712" s="72"/>
      <c r="AO712" s="72"/>
    </row>
    <row r="713" spans="35:41" ht="15.75" customHeight="1" x14ac:dyDescent="0.25">
      <c r="AI713" s="72"/>
      <c r="AJ713" s="72"/>
      <c r="AK713" s="72"/>
      <c r="AL713" s="72"/>
      <c r="AM713" s="72"/>
      <c r="AN713" s="72"/>
      <c r="AO713" s="72"/>
    </row>
    <row r="714" spans="35:41" ht="15.75" customHeight="1" x14ac:dyDescent="0.25">
      <c r="AI714" s="72"/>
      <c r="AJ714" s="72"/>
      <c r="AK714" s="72"/>
      <c r="AL714" s="72"/>
      <c r="AM714" s="72"/>
      <c r="AN714" s="72"/>
      <c r="AO714" s="72"/>
    </row>
    <row r="715" spans="35:41" ht="15.75" customHeight="1" x14ac:dyDescent="0.25">
      <c r="AI715" s="72"/>
      <c r="AJ715" s="72"/>
      <c r="AK715" s="72"/>
      <c r="AL715" s="72"/>
      <c r="AM715" s="72"/>
      <c r="AN715" s="72"/>
      <c r="AO715" s="72"/>
    </row>
    <row r="716" spans="35:41" ht="15.75" customHeight="1" x14ac:dyDescent="0.25">
      <c r="AI716" s="72"/>
      <c r="AJ716" s="72"/>
      <c r="AK716" s="72"/>
      <c r="AL716" s="72"/>
      <c r="AM716" s="72"/>
      <c r="AN716" s="72"/>
      <c r="AO716" s="72"/>
    </row>
    <row r="717" spans="35:41" ht="15.75" customHeight="1" x14ac:dyDescent="0.25">
      <c r="AI717" s="72"/>
      <c r="AJ717" s="72"/>
      <c r="AK717" s="72"/>
      <c r="AL717" s="72"/>
      <c r="AM717" s="72"/>
      <c r="AN717" s="72"/>
      <c r="AO717" s="72"/>
    </row>
    <row r="718" spans="35:41" ht="15.75" customHeight="1" x14ac:dyDescent="0.25">
      <c r="AI718" s="72"/>
      <c r="AJ718" s="72"/>
      <c r="AK718" s="72"/>
      <c r="AL718" s="72"/>
      <c r="AM718" s="72"/>
      <c r="AN718" s="72"/>
      <c r="AO718" s="72"/>
    </row>
    <row r="719" spans="35:41" ht="15.75" customHeight="1" x14ac:dyDescent="0.25">
      <c r="AI719" s="72"/>
      <c r="AJ719" s="72"/>
      <c r="AK719" s="72"/>
      <c r="AL719" s="72"/>
      <c r="AM719" s="72"/>
      <c r="AN719" s="72"/>
      <c r="AO719" s="72"/>
    </row>
    <row r="720" spans="35:41" ht="15.75" customHeight="1" x14ac:dyDescent="0.25">
      <c r="AI720" s="72"/>
      <c r="AJ720" s="72"/>
      <c r="AK720" s="72"/>
      <c r="AL720" s="72"/>
      <c r="AM720" s="72"/>
      <c r="AN720" s="72"/>
      <c r="AO720" s="72"/>
    </row>
    <row r="721" spans="35:41" ht="15.75" customHeight="1" x14ac:dyDescent="0.25">
      <c r="AI721" s="72"/>
      <c r="AJ721" s="72"/>
      <c r="AK721" s="72"/>
      <c r="AL721" s="72"/>
      <c r="AM721" s="72"/>
      <c r="AN721" s="72"/>
      <c r="AO721" s="72"/>
    </row>
    <row r="722" spans="35:41" ht="15.75" customHeight="1" x14ac:dyDescent="0.25">
      <c r="AI722" s="72"/>
      <c r="AJ722" s="72"/>
      <c r="AK722" s="72"/>
      <c r="AL722" s="72"/>
      <c r="AM722" s="72"/>
      <c r="AN722" s="72"/>
      <c r="AO722" s="72"/>
    </row>
    <row r="723" spans="35:41" ht="15.75" customHeight="1" x14ac:dyDescent="0.25">
      <c r="AI723" s="72"/>
      <c r="AJ723" s="72"/>
      <c r="AK723" s="72"/>
      <c r="AL723" s="72"/>
      <c r="AM723" s="72"/>
      <c r="AN723" s="72"/>
      <c r="AO723" s="72"/>
    </row>
    <row r="724" spans="35:41" ht="15.75" customHeight="1" x14ac:dyDescent="0.25">
      <c r="AI724" s="72"/>
      <c r="AJ724" s="72"/>
      <c r="AK724" s="72"/>
      <c r="AL724" s="72"/>
      <c r="AM724" s="72"/>
      <c r="AN724" s="72"/>
      <c r="AO724" s="72"/>
    </row>
    <row r="725" spans="35:41" ht="15.75" customHeight="1" x14ac:dyDescent="0.25">
      <c r="AI725" s="72"/>
      <c r="AJ725" s="72"/>
      <c r="AK725" s="72"/>
      <c r="AL725" s="72"/>
      <c r="AM725" s="72"/>
      <c r="AN725" s="72"/>
      <c r="AO725" s="72"/>
    </row>
    <row r="726" spans="35:41" ht="15.75" customHeight="1" x14ac:dyDescent="0.25">
      <c r="AI726" s="72"/>
      <c r="AJ726" s="72"/>
      <c r="AK726" s="72"/>
      <c r="AL726" s="72"/>
      <c r="AM726" s="72"/>
      <c r="AN726" s="72"/>
      <c r="AO726" s="72"/>
    </row>
    <row r="727" spans="35:41" ht="15.75" customHeight="1" x14ac:dyDescent="0.25">
      <c r="AI727" s="72"/>
      <c r="AJ727" s="72"/>
      <c r="AK727" s="72"/>
      <c r="AL727" s="72"/>
      <c r="AM727" s="72"/>
      <c r="AN727" s="72"/>
      <c r="AO727" s="72"/>
    </row>
    <row r="728" spans="35:41" ht="15.75" customHeight="1" x14ac:dyDescent="0.25">
      <c r="AI728" s="72"/>
      <c r="AJ728" s="72"/>
      <c r="AK728" s="72"/>
      <c r="AL728" s="72"/>
      <c r="AM728" s="72"/>
      <c r="AN728" s="72"/>
      <c r="AO728" s="72"/>
    </row>
    <row r="729" spans="35:41" ht="15.75" customHeight="1" x14ac:dyDescent="0.25">
      <c r="AI729" s="72"/>
      <c r="AJ729" s="72"/>
      <c r="AK729" s="72"/>
      <c r="AL729" s="72"/>
      <c r="AM729" s="72"/>
      <c r="AN729" s="72"/>
      <c r="AO729" s="72"/>
    </row>
    <row r="730" spans="35:41" ht="15.75" customHeight="1" x14ac:dyDescent="0.25">
      <c r="AI730" s="72"/>
      <c r="AJ730" s="72"/>
      <c r="AK730" s="72"/>
      <c r="AL730" s="72"/>
      <c r="AM730" s="72"/>
      <c r="AN730" s="72"/>
      <c r="AO730" s="72"/>
    </row>
    <row r="731" spans="35:41" ht="15.75" customHeight="1" x14ac:dyDescent="0.25">
      <c r="AI731" s="72"/>
      <c r="AJ731" s="72"/>
      <c r="AK731" s="72"/>
      <c r="AL731" s="72"/>
      <c r="AM731" s="72"/>
      <c r="AN731" s="72"/>
      <c r="AO731" s="72"/>
    </row>
    <row r="732" spans="35:41" ht="15.75" customHeight="1" x14ac:dyDescent="0.25">
      <c r="AI732" s="72"/>
      <c r="AJ732" s="72"/>
      <c r="AK732" s="72"/>
      <c r="AL732" s="72"/>
      <c r="AM732" s="72"/>
      <c r="AN732" s="72"/>
      <c r="AO732" s="72"/>
    </row>
    <row r="733" spans="35:41" ht="15.75" customHeight="1" x14ac:dyDescent="0.25">
      <c r="AI733" s="72"/>
      <c r="AJ733" s="72"/>
      <c r="AK733" s="72"/>
      <c r="AL733" s="72"/>
      <c r="AM733" s="72"/>
      <c r="AN733" s="72"/>
      <c r="AO733" s="72"/>
    </row>
    <row r="734" spans="35:41" ht="15.75" customHeight="1" x14ac:dyDescent="0.25">
      <c r="AI734" s="72"/>
      <c r="AJ734" s="72"/>
      <c r="AK734" s="72"/>
      <c r="AL734" s="72"/>
      <c r="AM734" s="72"/>
      <c r="AN734" s="72"/>
      <c r="AO734" s="72"/>
    </row>
    <row r="735" spans="35:41" ht="15.75" customHeight="1" x14ac:dyDescent="0.25">
      <c r="AI735" s="72"/>
      <c r="AJ735" s="72"/>
      <c r="AK735" s="72"/>
      <c r="AL735" s="72"/>
      <c r="AM735" s="72"/>
      <c r="AN735" s="72"/>
      <c r="AO735" s="72"/>
    </row>
    <row r="736" spans="35:41" ht="15.75" customHeight="1" x14ac:dyDescent="0.25">
      <c r="AI736" s="72"/>
      <c r="AJ736" s="72"/>
      <c r="AK736" s="72"/>
      <c r="AL736" s="72"/>
      <c r="AM736" s="72"/>
      <c r="AN736" s="72"/>
      <c r="AO736" s="72"/>
    </row>
    <row r="737" spans="35:41" ht="15.75" customHeight="1" x14ac:dyDescent="0.25">
      <c r="AI737" s="72"/>
      <c r="AJ737" s="72"/>
      <c r="AK737" s="72"/>
      <c r="AL737" s="72"/>
      <c r="AM737" s="72"/>
      <c r="AN737" s="72"/>
      <c r="AO737" s="72"/>
    </row>
    <row r="738" spans="35:41" ht="15.75" customHeight="1" x14ac:dyDescent="0.25">
      <c r="AI738" s="72"/>
      <c r="AJ738" s="72"/>
      <c r="AK738" s="72"/>
      <c r="AL738" s="72"/>
      <c r="AM738" s="72"/>
      <c r="AN738" s="72"/>
      <c r="AO738" s="72"/>
    </row>
    <row r="739" spans="35:41" ht="15.75" customHeight="1" x14ac:dyDescent="0.25">
      <c r="AI739" s="72"/>
      <c r="AJ739" s="72"/>
      <c r="AK739" s="72"/>
      <c r="AL739" s="72"/>
      <c r="AM739" s="72"/>
      <c r="AN739" s="72"/>
      <c r="AO739" s="72"/>
    </row>
    <row r="740" spans="35:41" ht="15.75" customHeight="1" x14ac:dyDescent="0.25">
      <c r="AI740" s="72"/>
      <c r="AJ740" s="72"/>
      <c r="AK740" s="72"/>
      <c r="AL740" s="72"/>
      <c r="AM740" s="72"/>
      <c r="AN740" s="72"/>
      <c r="AO740" s="72"/>
    </row>
    <row r="741" spans="35:41" ht="15.75" customHeight="1" x14ac:dyDescent="0.25">
      <c r="AI741" s="72"/>
      <c r="AJ741" s="72"/>
      <c r="AK741" s="72"/>
      <c r="AL741" s="72"/>
      <c r="AM741" s="72"/>
      <c r="AN741" s="72"/>
      <c r="AO741" s="72"/>
    </row>
    <row r="742" spans="35:41" ht="15.75" customHeight="1" x14ac:dyDescent="0.25">
      <c r="AI742" s="72"/>
      <c r="AJ742" s="72"/>
      <c r="AK742" s="72"/>
      <c r="AL742" s="72"/>
      <c r="AM742" s="72"/>
      <c r="AN742" s="72"/>
      <c r="AO742" s="72"/>
    </row>
    <row r="743" spans="35:41" ht="15.75" customHeight="1" x14ac:dyDescent="0.25">
      <c r="AI743" s="72"/>
      <c r="AJ743" s="72"/>
      <c r="AK743" s="72"/>
      <c r="AL743" s="72"/>
      <c r="AM743" s="72"/>
      <c r="AN743" s="72"/>
      <c r="AO743" s="72"/>
    </row>
    <row r="744" spans="35:41" ht="15.75" customHeight="1" x14ac:dyDescent="0.25">
      <c r="AI744" s="72"/>
      <c r="AJ744" s="72"/>
      <c r="AK744" s="72"/>
      <c r="AL744" s="72"/>
      <c r="AM744" s="72"/>
      <c r="AN744" s="72"/>
      <c r="AO744" s="72"/>
    </row>
    <row r="745" spans="35:41" ht="15.75" customHeight="1" x14ac:dyDescent="0.25">
      <c r="AI745" s="72"/>
      <c r="AJ745" s="72"/>
      <c r="AK745" s="72"/>
      <c r="AL745" s="72"/>
      <c r="AM745" s="72"/>
      <c r="AN745" s="72"/>
      <c r="AO745" s="72"/>
    </row>
    <row r="746" spans="35:41" ht="15.75" customHeight="1" x14ac:dyDescent="0.25">
      <c r="AI746" s="72"/>
      <c r="AJ746" s="72"/>
      <c r="AK746" s="72"/>
      <c r="AL746" s="72"/>
      <c r="AM746" s="72"/>
      <c r="AN746" s="72"/>
      <c r="AO746" s="72"/>
    </row>
    <row r="747" spans="35:41" ht="15.75" customHeight="1" x14ac:dyDescent="0.25">
      <c r="AI747" s="72"/>
      <c r="AJ747" s="72"/>
      <c r="AK747" s="72"/>
      <c r="AL747" s="72"/>
      <c r="AM747" s="72"/>
      <c r="AN747" s="72"/>
      <c r="AO747" s="72"/>
    </row>
    <row r="748" spans="35:41" ht="15.75" customHeight="1" x14ac:dyDescent="0.25">
      <c r="AI748" s="72"/>
      <c r="AJ748" s="72"/>
      <c r="AK748" s="72"/>
      <c r="AL748" s="72"/>
      <c r="AM748" s="72"/>
      <c r="AN748" s="72"/>
      <c r="AO748" s="72"/>
    </row>
    <row r="749" spans="35:41" ht="15.75" customHeight="1" x14ac:dyDescent="0.25">
      <c r="AI749" s="72"/>
      <c r="AJ749" s="72"/>
      <c r="AK749" s="72"/>
      <c r="AL749" s="72"/>
      <c r="AM749" s="72"/>
      <c r="AN749" s="72"/>
      <c r="AO749" s="72"/>
    </row>
    <row r="750" spans="35:41" ht="15.75" customHeight="1" x14ac:dyDescent="0.25">
      <c r="AI750" s="72"/>
      <c r="AJ750" s="72"/>
      <c r="AK750" s="72"/>
      <c r="AL750" s="72"/>
      <c r="AM750" s="72"/>
      <c r="AN750" s="72"/>
      <c r="AO750" s="72"/>
    </row>
    <row r="751" spans="35:41" ht="15.75" customHeight="1" x14ac:dyDescent="0.25">
      <c r="AI751" s="72"/>
      <c r="AJ751" s="72"/>
      <c r="AK751" s="72"/>
      <c r="AL751" s="72"/>
      <c r="AM751" s="72"/>
      <c r="AN751" s="72"/>
      <c r="AO751" s="72"/>
    </row>
    <row r="752" spans="35:41" ht="15.75" customHeight="1" x14ac:dyDescent="0.25">
      <c r="AI752" s="72"/>
      <c r="AJ752" s="72"/>
      <c r="AK752" s="72"/>
      <c r="AL752" s="72"/>
      <c r="AM752" s="72"/>
      <c r="AN752" s="72"/>
      <c r="AO752" s="72"/>
    </row>
    <row r="753" spans="35:41" ht="15.75" customHeight="1" x14ac:dyDescent="0.25">
      <c r="AI753" s="72"/>
      <c r="AJ753" s="72"/>
      <c r="AK753" s="72"/>
      <c r="AL753" s="72"/>
      <c r="AM753" s="72"/>
      <c r="AN753" s="72"/>
      <c r="AO753" s="72"/>
    </row>
    <row r="754" spans="35:41" ht="15.75" customHeight="1" x14ac:dyDescent="0.25">
      <c r="AI754" s="72"/>
      <c r="AJ754" s="72"/>
      <c r="AK754" s="72"/>
      <c r="AL754" s="72"/>
      <c r="AM754" s="72"/>
      <c r="AN754" s="72"/>
      <c r="AO754" s="72"/>
    </row>
    <row r="755" spans="35:41" ht="15.75" customHeight="1" x14ac:dyDescent="0.25">
      <c r="AI755" s="72"/>
      <c r="AJ755" s="72"/>
      <c r="AK755" s="72"/>
      <c r="AL755" s="72"/>
      <c r="AM755" s="72"/>
      <c r="AN755" s="72"/>
      <c r="AO755" s="72"/>
    </row>
    <row r="756" spans="35:41" ht="15.75" customHeight="1" x14ac:dyDescent="0.25">
      <c r="AI756" s="72"/>
      <c r="AJ756" s="72"/>
      <c r="AK756" s="72"/>
      <c r="AL756" s="72"/>
      <c r="AM756" s="72"/>
      <c r="AN756" s="72"/>
      <c r="AO756" s="72"/>
    </row>
    <row r="757" spans="35:41" ht="15.75" customHeight="1" x14ac:dyDescent="0.25">
      <c r="AI757" s="72"/>
      <c r="AJ757" s="72"/>
      <c r="AK757" s="72"/>
      <c r="AL757" s="72"/>
      <c r="AM757" s="72"/>
      <c r="AN757" s="72"/>
      <c r="AO757" s="72"/>
    </row>
    <row r="758" spans="35:41" ht="15.75" customHeight="1" x14ac:dyDescent="0.25">
      <c r="AI758" s="72"/>
      <c r="AJ758" s="72"/>
      <c r="AK758" s="72"/>
      <c r="AL758" s="72"/>
      <c r="AM758" s="72"/>
      <c r="AN758" s="72"/>
      <c r="AO758" s="72"/>
    </row>
    <row r="759" spans="35:41" ht="15.75" customHeight="1" x14ac:dyDescent="0.25">
      <c r="AI759" s="72"/>
      <c r="AJ759" s="72"/>
      <c r="AK759" s="72"/>
      <c r="AL759" s="72"/>
      <c r="AM759" s="72"/>
      <c r="AN759" s="72"/>
      <c r="AO759" s="72"/>
    </row>
    <row r="760" spans="35:41" ht="15.75" customHeight="1" x14ac:dyDescent="0.25">
      <c r="AI760" s="72"/>
      <c r="AJ760" s="72"/>
      <c r="AK760" s="72"/>
      <c r="AL760" s="72"/>
      <c r="AM760" s="72"/>
      <c r="AN760" s="72"/>
      <c r="AO760" s="72"/>
    </row>
    <row r="761" spans="35:41" ht="15.75" customHeight="1" x14ac:dyDescent="0.25">
      <c r="AI761" s="72"/>
      <c r="AJ761" s="72"/>
      <c r="AK761" s="72"/>
      <c r="AL761" s="72"/>
      <c r="AM761" s="72"/>
      <c r="AN761" s="72"/>
      <c r="AO761" s="72"/>
    </row>
    <row r="762" spans="35:41" ht="15.75" customHeight="1" x14ac:dyDescent="0.25">
      <c r="AI762" s="72"/>
      <c r="AJ762" s="72"/>
      <c r="AK762" s="72"/>
      <c r="AL762" s="72"/>
      <c r="AM762" s="72"/>
      <c r="AN762" s="72"/>
      <c r="AO762" s="72"/>
    </row>
    <row r="763" spans="35:41" ht="15.75" customHeight="1" x14ac:dyDescent="0.25">
      <c r="AI763" s="72"/>
      <c r="AJ763" s="72"/>
      <c r="AK763" s="72"/>
      <c r="AL763" s="72"/>
      <c r="AM763" s="72"/>
      <c r="AN763" s="72"/>
      <c r="AO763" s="72"/>
    </row>
    <row r="764" spans="35:41" ht="15.75" customHeight="1" x14ac:dyDescent="0.25">
      <c r="AI764" s="72"/>
      <c r="AJ764" s="72"/>
      <c r="AK764" s="72"/>
      <c r="AL764" s="72"/>
      <c r="AM764" s="72"/>
      <c r="AN764" s="72"/>
      <c r="AO764" s="72"/>
    </row>
    <row r="765" spans="35:41" ht="15.75" customHeight="1" x14ac:dyDescent="0.25">
      <c r="AI765" s="72"/>
      <c r="AJ765" s="72"/>
      <c r="AK765" s="72"/>
      <c r="AL765" s="72"/>
      <c r="AM765" s="72"/>
      <c r="AN765" s="72"/>
      <c r="AO765" s="72"/>
    </row>
    <row r="766" spans="35:41" ht="15.75" customHeight="1" x14ac:dyDescent="0.25">
      <c r="AI766" s="72"/>
      <c r="AJ766" s="72"/>
      <c r="AK766" s="72"/>
      <c r="AL766" s="72"/>
      <c r="AM766" s="72"/>
      <c r="AN766" s="72"/>
      <c r="AO766" s="72"/>
    </row>
    <row r="767" spans="35:41" ht="15.75" customHeight="1" x14ac:dyDescent="0.25">
      <c r="AI767" s="72"/>
      <c r="AJ767" s="72"/>
      <c r="AK767" s="72"/>
      <c r="AL767" s="72"/>
      <c r="AM767" s="72"/>
      <c r="AN767" s="72"/>
      <c r="AO767" s="72"/>
    </row>
    <row r="768" spans="35:41" ht="15.75" customHeight="1" x14ac:dyDescent="0.25">
      <c r="AI768" s="72"/>
      <c r="AJ768" s="72"/>
      <c r="AK768" s="72"/>
      <c r="AL768" s="72"/>
      <c r="AM768" s="72"/>
      <c r="AN768" s="72"/>
      <c r="AO768" s="72"/>
    </row>
    <row r="769" spans="35:41" ht="15.75" customHeight="1" x14ac:dyDescent="0.25">
      <c r="AI769" s="72"/>
      <c r="AJ769" s="72"/>
      <c r="AK769" s="72"/>
      <c r="AL769" s="72"/>
      <c r="AM769" s="72"/>
      <c r="AN769" s="72"/>
      <c r="AO769" s="72"/>
    </row>
    <row r="770" spans="35:41" ht="15.75" customHeight="1" x14ac:dyDescent="0.25">
      <c r="AI770" s="72"/>
      <c r="AJ770" s="72"/>
      <c r="AK770" s="72"/>
      <c r="AL770" s="72"/>
      <c r="AM770" s="72"/>
      <c r="AN770" s="72"/>
      <c r="AO770" s="72"/>
    </row>
    <row r="771" spans="35:41" ht="15.75" customHeight="1" x14ac:dyDescent="0.25">
      <c r="AI771" s="72"/>
      <c r="AJ771" s="72"/>
      <c r="AK771" s="72"/>
      <c r="AL771" s="72"/>
      <c r="AM771" s="72"/>
      <c r="AN771" s="72"/>
      <c r="AO771" s="72"/>
    </row>
    <row r="772" spans="35:41" ht="15.75" customHeight="1" x14ac:dyDescent="0.25">
      <c r="AI772" s="72"/>
      <c r="AJ772" s="72"/>
      <c r="AK772" s="72"/>
      <c r="AL772" s="72"/>
      <c r="AM772" s="72"/>
      <c r="AN772" s="72"/>
      <c r="AO772" s="72"/>
    </row>
    <row r="773" spans="35:41" ht="15.75" customHeight="1" x14ac:dyDescent="0.25">
      <c r="AI773" s="72"/>
      <c r="AJ773" s="72"/>
      <c r="AK773" s="72"/>
      <c r="AL773" s="72"/>
      <c r="AM773" s="72"/>
      <c r="AN773" s="72"/>
      <c r="AO773" s="72"/>
    </row>
    <row r="774" spans="35:41" ht="15.75" customHeight="1" x14ac:dyDescent="0.25">
      <c r="AI774" s="72"/>
      <c r="AJ774" s="72"/>
      <c r="AK774" s="72"/>
      <c r="AL774" s="72"/>
      <c r="AM774" s="72"/>
      <c r="AN774" s="72"/>
      <c r="AO774" s="72"/>
    </row>
    <row r="775" spans="35:41" ht="15.75" customHeight="1" x14ac:dyDescent="0.25">
      <c r="AI775" s="72"/>
      <c r="AJ775" s="72"/>
      <c r="AK775" s="72"/>
      <c r="AL775" s="72"/>
      <c r="AM775" s="72"/>
      <c r="AN775" s="72"/>
      <c r="AO775" s="72"/>
    </row>
    <row r="776" spans="35:41" ht="15.75" customHeight="1" x14ac:dyDescent="0.25">
      <c r="AI776" s="72"/>
      <c r="AJ776" s="72"/>
      <c r="AK776" s="72"/>
      <c r="AL776" s="72"/>
      <c r="AM776" s="72"/>
      <c r="AN776" s="72"/>
      <c r="AO776" s="72"/>
    </row>
    <row r="777" spans="35:41" ht="15.75" customHeight="1" x14ac:dyDescent="0.25">
      <c r="AI777" s="72"/>
      <c r="AJ777" s="72"/>
      <c r="AK777" s="72"/>
      <c r="AL777" s="72"/>
      <c r="AM777" s="72"/>
      <c r="AN777" s="72"/>
      <c r="AO777" s="72"/>
    </row>
    <row r="778" spans="35:41" ht="15.75" customHeight="1" x14ac:dyDescent="0.25">
      <c r="AI778" s="72"/>
      <c r="AJ778" s="72"/>
      <c r="AK778" s="72"/>
      <c r="AL778" s="72"/>
      <c r="AM778" s="72"/>
      <c r="AN778" s="72"/>
      <c r="AO778" s="72"/>
    </row>
    <row r="779" spans="35:41" ht="15.75" customHeight="1" x14ac:dyDescent="0.25">
      <c r="AI779" s="72"/>
      <c r="AJ779" s="72"/>
      <c r="AK779" s="72"/>
      <c r="AL779" s="72"/>
      <c r="AM779" s="72"/>
      <c r="AN779" s="72"/>
      <c r="AO779" s="72"/>
    </row>
    <row r="780" spans="35:41" ht="15.75" customHeight="1" x14ac:dyDescent="0.25">
      <c r="AI780" s="72"/>
      <c r="AJ780" s="72"/>
      <c r="AK780" s="72"/>
      <c r="AL780" s="72"/>
      <c r="AM780" s="72"/>
      <c r="AN780" s="72"/>
      <c r="AO780" s="72"/>
    </row>
    <row r="781" spans="35:41" ht="15.75" customHeight="1" x14ac:dyDescent="0.25">
      <c r="AI781" s="72"/>
      <c r="AJ781" s="72"/>
      <c r="AK781" s="72"/>
      <c r="AL781" s="72"/>
      <c r="AM781" s="72"/>
      <c r="AN781" s="72"/>
      <c r="AO781" s="72"/>
    </row>
    <row r="782" spans="35:41" ht="15.75" customHeight="1" x14ac:dyDescent="0.25">
      <c r="AI782" s="72"/>
      <c r="AJ782" s="72"/>
      <c r="AK782" s="72"/>
      <c r="AL782" s="72"/>
      <c r="AM782" s="72"/>
      <c r="AN782" s="72"/>
      <c r="AO782" s="72"/>
    </row>
    <row r="783" spans="35:41" ht="15.75" customHeight="1" x14ac:dyDescent="0.25">
      <c r="AI783" s="72"/>
      <c r="AJ783" s="72"/>
      <c r="AK783" s="72"/>
      <c r="AL783" s="72"/>
      <c r="AM783" s="72"/>
      <c r="AN783" s="72"/>
      <c r="AO783" s="72"/>
    </row>
    <row r="784" spans="35:41" ht="15.75" customHeight="1" x14ac:dyDescent="0.25">
      <c r="AI784" s="72"/>
      <c r="AJ784" s="72"/>
      <c r="AK784" s="72"/>
      <c r="AL784" s="72"/>
      <c r="AM784" s="72"/>
      <c r="AN784" s="72"/>
      <c r="AO784" s="72"/>
    </row>
    <row r="785" spans="35:41" ht="15.75" customHeight="1" x14ac:dyDescent="0.25">
      <c r="AI785" s="72"/>
      <c r="AJ785" s="72"/>
      <c r="AK785" s="72"/>
      <c r="AL785" s="72"/>
      <c r="AM785" s="72"/>
      <c r="AN785" s="72"/>
      <c r="AO785" s="72"/>
    </row>
    <row r="786" spans="35:41" ht="15.75" customHeight="1" x14ac:dyDescent="0.25">
      <c r="AI786" s="72"/>
      <c r="AJ786" s="72"/>
      <c r="AK786" s="72"/>
      <c r="AL786" s="72"/>
      <c r="AM786" s="72"/>
      <c r="AN786" s="72"/>
      <c r="AO786" s="72"/>
    </row>
    <row r="787" spans="35:41" ht="15.75" customHeight="1" x14ac:dyDescent="0.25">
      <c r="AI787" s="72"/>
      <c r="AJ787" s="72"/>
      <c r="AK787" s="72"/>
      <c r="AL787" s="72"/>
      <c r="AM787" s="72"/>
      <c r="AN787" s="72"/>
      <c r="AO787" s="72"/>
    </row>
    <row r="788" spans="35:41" ht="15.75" customHeight="1" x14ac:dyDescent="0.25">
      <c r="AI788" s="72"/>
      <c r="AJ788" s="72"/>
      <c r="AK788" s="72"/>
      <c r="AL788" s="72"/>
      <c r="AM788" s="72"/>
      <c r="AN788" s="72"/>
      <c r="AO788" s="72"/>
    </row>
    <row r="789" spans="35:41" ht="15.75" customHeight="1" x14ac:dyDescent="0.25">
      <c r="AI789" s="72"/>
      <c r="AJ789" s="72"/>
      <c r="AK789" s="72"/>
      <c r="AL789" s="72"/>
      <c r="AM789" s="72"/>
      <c r="AN789" s="72"/>
      <c r="AO789" s="72"/>
    </row>
    <row r="790" spans="35:41" ht="15.75" customHeight="1" x14ac:dyDescent="0.25">
      <c r="AI790" s="72"/>
      <c r="AJ790" s="72"/>
      <c r="AK790" s="72"/>
      <c r="AL790" s="72"/>
      <c r="AM790" s="72"/>
      <c r="AN790" s="72"/>
      <c r="AO790" s="72"/>
    </row>
    <row r="791" spans="35:41" ht="15.75" customHeight="1" x14ac:dyDescent="0.25">
      <c r="AI791" s="72"/>
      <c r="AJ791" s="72"/>
      <c r="AK791" s="72"/>
      <c r="AL791" s="72"/>
      <c r="AM791" s="72"/>
      <c r="AN791" s="72"/>
      <c r="AO791" s="72"/>
    </row>
    <row r="792" spans="35:41" ht="15.75" customHeight="1" x14ac:dyDescent="0.25">
      <c r="AI792" s="72"/>
      <c r="AJ792" s="72"/>
      <c r="AK792" s="72"/>
      <c r="AL792" s="72"/>
      <c r="AM792" s="72"/>
      <c r="AN792" s="72"/>
      <c r="AO792" s="72"/>
    </row>
    <row r="793" spans="35:41" ht="15.75" customHeight="1" x14ac:dyDescent="0.25">
      <c r="AI793" s="72"/>
      <c r="AJ793" s="72"/>
      <c r="AK793" s="72"/>
      <c r="AL793" s="72"/>
      <c r="AM793" s="72"/>
      <c r="AN793" s="72"/>
      <c r="AO793" s="72"/>
    </row>
    <row r="794" spans="35:41" ht="15.75" customHeight="1" x14ac:dyDescent="0.25">
      <c r="AI794" s="72"/>
      <c r="AJ794" s="72"/>
      <c r="AK794" s="72"/>
      <c r="AL794" s="72"/>
      <c r="AM794" s="72"/>
      <c r="AN794" s="72"/>
      <c r="AO794" s="72"/>
    </row>
    <row r="795" spans="35:41" ht="15.75" customHeight="1" x14ac:dyDescent="0.25">
      <c r="AI795" s="72"/>
      <c r="AJ795" s="72"/>
      <c r="AK795" s="72"/>
      <c r="AL795" s="72"/>
      <c r="AM795" s="72"/>
      <c r="AN795" s="72"/>
      <c r="AO795" s="72"/>
    </row>
    <row r="796" spans="35:41" ht="15.75" customHeight="1" x14ac:dyDescent="0.25">
      <c r="AI796" s="72"/>
      <c r="AJ796" s="72"/>
      <c r="AK796" s="72"/>
      <c r="AL796" s="72"/>
      <c r="AM796" s="72"/>
      <c r="AN796" s="72"/>
      <c r="AO796" s="72"/>
    </row>
    <row r="797" spans="35:41" ht="15.75" customHeight="1" x14ac:dyDescent="0.25">
      <c r="AI797" s="72"/>
      <c r="AJ797" s="72"/>
      <c r="AK797" s="72"/>
      <c r="AL797" s="72"/>
      <c r="AM797" s="72"/>
      <c r="AN797" s="72"/>
      <c r="AO797" s="72"/>
    </row>
    <row r="798" spans="35:41" ht="15.75" customHeight="1" x14ac:dyDescent="0.25">
      <c r="AI798" s="72"/>
      <c r="AJ798" s="72"/>
      <c r="AK798" s="72"/>
      <c r="AL798" s="72"/>
      <c r="AM798" s="72"/>
      <c r="AN798" s="72"/>
      <c r="AO798" s="72"/>
    </row>
    <row r="799" spans="35:41" ht="15.75" customHeight="1" x14ac:dyDescent="0.25">
      <c r="AI799" s="72"/>
      <c r="AJ799" s="72"/>
      <c r="AK799" s="72"/>
      <c r="AL799" s="72"/>
      <c r="AM799" s="72"/>
      <c r="AN799" s="72"/>
      <c r="AO799" s="72"/>
    </row>
    <row r="800" spans="35:41" ht="15.75" customHeight="1" x14ac:dyDescent="0.25">
      <c r="AI800" s="72"/>
      <c r="AJ800" s="72"/>
      <c r="AK800" s="72"/>
      <c r="AL800" s="72"/>
      <c r="AM800" s="72"/>
      <c r="AN800" s="72"/>
      <c r="AO800" s="72"/>
    </row>
    <row r="801" spans="35:41" ht="15.75" customHeight="1" x14ac:dyDescent="0.25">
      <c r="AI801" s="72"/>
      <c r="AJ801" s="72"/>
      <c r="AK801" s="72"/>
      <c r="AL801" s="72"/>
      <c r="AM801" s="72"/>
      <c r="AN801" s="72"/>
      <c r="AO801" s="72"/>
    </row>
    <row r="802" spans="35:41" ht="15.75" customHeight="1" x14ac:dyDescent="0.25">
      <c r="AI802" s="72"/>
      <c r="AJ802" s="72"/>
      <c r="AK802" s="72"/>
      <c r="AL802" s="72"/>
      <c r="AM802" s="72"/>
      <c r="AN802" s="72"/>
      <c r="AO802" s="72"/>
    </row>
    <row r="803" spans="35:41" ht="15.75" customHeight="1" x14ac:dyDescent="0.25">
      <c r="AI803" s="72"/>
      <c r="AJ803" s="72"/>
      <c r="AK803" s="72"/>
      <c r="AL803" s="72"/>
      <c r="AM803" s="72"/>
      <c r="AN803" s="72"/>
      <c r="AO803" s="72"/>
    </row>
    <row r="804" spans="35:41" ht="15.75" customHeight="1" x14ac:dyDescent="0.25">
      <c r="AI804" s="72"/>
      <c r="AJ804" s="72"/>
      <c r="AK804" s="72"/>
      <c r="AL804" s="72"/>
      <c r="AM804" s="72"/>
      <c r="AN804" s="72"/>
      <c r="AO804" s="72"/>
    </row>
    <row r="805" spans="35:41" ht="15.75" customHeight="1" x14ac:dyDescent="0.25">
      <c r="AI805" s="72"/>
      <c r="AJ805" s="72"/>
      <c r="AK805" s="72"/>
      <c r="AL805" s="72"/>
      <c r="AM805" s="72"/>
      <c r="AN805" s="72"/>
      <c r="AO805" s="72"/>
    </row>
    <row r="806" spans="35:41" ht="15.75" customHeight="1" x14ac:dyDescent="0.25">
      <c r="AI806" s="72"/>
      <c r="AJ806" s="72"/>
      <c r="AK806" s="72"/>
      <c r="AL806" s="72"/>
      <c r="AM806" s="72"/>
      <c r="AN806" s="72"/>
      <c r="AO806" s="72"/>
    </row>
    <row r="807" spans="35:41" ht="15.75" customHeight="1" x14ac:dyDescent="0.25">
      <c r="AI807" s="72"/>
      <c r="AJ807" s="72"/>
      <c r="AK807" s="72"/>
      <c r="AL807" s="72"/>
      <c r="AM807" s="72"/>
      <c r="AN807" s="72"/>
      <c r="AO807" s="72"/>
    </row>
    <row r="808" spans="35:41" ht="15.75" customHeight="1" x14ac:dyDescent="0.25">
      <c r="AI808" s="72"/>
      <c r="AJ808" s="72"/>
      <c r="AK808" s="72"/>
      <c r="AL808" s="72"/>
      <c r="AM808" s="72"/>
      <c r="AN808" s="72"/>
      <c r="AO808" s="72"/>
    </row>
    <row r="809" spans="35:41" ht="15.75" customHeight="1" x14ac:dyDescent="0.25">
      <c r="AI809" s="72"/>
      <c r="AJ809" s="72"/>
      <c r="AK809" s="72"/>
      <c r="AL809" s="72"/>
      <c r="AM809" s="72"/>
      <c r="AN809" s="72"/>
      <c r="AO809" s="72"/>
    </row>
    <row r="810" spans="35:41" ht="15.75" customHeight="1" x14ac:dyDescent="0.25">
      <c r="AI810" s="72"/>
      <c r="AJ810" s="72"/>
      <c r="AK810" s="72"/>
      <c r="AL810" s="72"/>
      <c r="AM810" s="72"/>
      <c r="AN810" s="72"/>
      <c r="AO810" s="72"/>
    </row>
    <row r="811" spans="35:41" ht="15.75" customHeight="1" x14ac:dyDescent="0.25">
      <c r="AI811" s="72"/>
      <c r="AJ811" s="72"/>
      <c r="AK811" s="72"/>
      <c r="AL811" s="72"/>
      <c r="AM811" s="72"/>
      <c r="AN811" s="72"/>
      <c r="AO811" s="72"/>
    </row>
    <row r="812" spans="35:41" ht="15.75" customHeight="1" x14ac:dyDescent="0.25">
      <c r="AI812" s="72"/>
      <c r="AJ812" s="72"/>
      <c r="AK812" s="72"/>
      <c r="AL812" s="72"/>
      <c r="AM812" s="72"/>
      <c r="AN812" s="72"/>
      <c r="AO812" s="72"/>
    </row>
    <row r="813" spans="35:41" ht="15.75" customHeight="1" x14ac:dyDescent="0.25">
      <c r="AI813" s="72"/>
      <c r="AJ813" s="72"/>
      <c r="AK813" s="72"/>
      <c r="AL813" s="72"/>
      <c r="AM813" s="72"/>
      <c r="AN813" s="72"/>
      <c r="AO813" s="72"/>
    </row>
    <row r="814" spans="35:41" ht="15.75" customHeight="1" x14ac:dyDescent="0.25">
      <c r="AI814" s="72"/>
      <c r="AJ814" s="72"/>
      <c r="AK814" s="72"/>
      <c r="AL814" s="72"/>
      <c r="AM814" s="72"/>
      <c r="AN814" s="72"/>
      <c r="AO814" s="72"/>
    </row>
    <row r="815" spans="35:41" ht="15.75" customHeight="1" x14ac:dyDescent="0.25">
      <c r="AI815" s="72"/>
      <c r="AJ815" s="72"/>
      <c r="AK815" s="72"/>
      <c r="AL815" s="72"/>
      <c r="AM815" s="72"/>
      <c r="AN815" s="72"/>
      <c r="AO815" s="72"/>
    </row>
    <row r="816" spans="35:41" ht="15.75" customHeight="1" x14ac:dyDescent="0.25">
      <c r="AI816" s="72"/>
      <c r="AJ816" s="72"/>
      <c r="AK816" s="72"/>
      <c r="AL816" s="72"/>
      <c r="AM816" s="72"/>
      <c r="AN816" s="72"/>
      <c r="AO816" s="72"/>
    </row>
    <row r="817" spans="35:41" ht="15.75" customHeight="1" x14ac:dyDescent="0.25">
      <c r="AI817" s="72"/>
      <c r="AJ817" s="72"/>
      <c r="AK817" s="72"/>
      <c r="AL817" s="72"/>
      <c r="AM817" s="72"/>
      <c r="AN817" s="72"/>
      <c r="AO817" s="72"/>
    </row>
    <row r="818" spans="35:41" ht="15.75" customHeight="1" x14ac:dyDescent="0.25">
      <c r="AI818" s="72"/>
      <c r="AJ818" s="72"/>
      <c r="AK818" s="72"/>
      <c r="AL818" s="72"/>
      <c r="AM818" s="72"/>
      <c r="AN818" s="72"/>
      <c r="AO818" s="72"/>
    </row>
  </sheetData>
  <autoFilter ref="A3:BG90" xr:uid="{00000000-0001-0000-0200-000000000000}">
    <filterColumn colId="10" showButton="0"/>
    <filterColumn colId="11" showButton="0"/>
    <filterColumn colId="12" showButton="0"/>
    <filterColumn colId="57">
      <filters>
        <dateGroupItem year="2025" dateTimeGrouping="year"/>
      </filters>
    </filterColumn>
  </autoFilter>
  <mergeCells count="56">
    <mergeCell ref="AH3:AH4"/>
    <mergeCell ref="AT3:AT4"/>
    <mergeCell ref="Q3:Q4"/>
    <mergeCell ref="R3:R4"/>
    <mergeCell ref="S3:S4"/>
    <mergeCell ref="AR3:AR4"/>
    <mergeCell ref="AO3:AO4"/>
    <mergeCell ref="AF3:AF4"/>
    <mergeCell ref="O3:O4"/>
    <mergeCell ref="U3:U4"/>
    <mergeCell ref="F3:F4"/>
    <mergeCell ref="T3:T4"/>
    <mergeCell ref="AE3:AE4"/>
    <mergeCell ref="J3:J4"/>
    <mergeCell ref="P3:P4"/>
    <mergeCell ref="G3:G4"/>
    <mergeCell ref="H3:H4"/>
    <mergeCell ref="I3:I4"/>
    <mergeCell ref="K3:N3"/>
    <mergeCell ref="A3:A4"/>
    <mergeCell ref="C3:C4"/>
    <mergeCell ref="D3:D4"/>
    <mergeCell ref="E3:E4"/>
    <mergeCell ref="B3:B4"/>
    <mergeCell ref="BG3:BG4"/>
    <mergeCell ref="AP3:AP4"/>
    <mergeCell ref="AA3:AA4"/>
    <mergeCell ref="AB3:AB4"/>
    <mergeCell ref="BF3:BF4"/>
    <mergeCell ref="AC3:AC4"/>
    <mergeCell ref="AD3:AD4"/>
    <mergeCell ref="AS3:AS4"/>
    <mergeCell ref="AG3:AG4"/>
    <mergeCell ref="AY3:AY4"/>
    <mergeCell ref="AZ3:AZ4"/>
    <mergeCell ref="BA3:BA4"/>
    <mergeCell ref="BB3:BB4"/>
    <mergeCell ref="AQ3:AQ4"/>
    <mergeCell ref="AI3:AI4"/>
    <mergeCell ref="AJ3:AJ4"/>
    <mergeCell ref="BC3:BC4"/>
    <mergeCell ref="BD3:BD4"/>
    <mergeCell ref="BE3:BE4"/>
    <mergeCell ref="V3:V4"/>
    <mergeCell ref="AU3:AU4"/>
    <mergeCell ref="AV3:AV4"/>
    <mergeCell ref="AW3:AW4"/>
    <mergeCell ref="AX3:AX4"/>
    <mergeCell ref="W3:W4"/>
    <mergeCell ref="X3:X4"/>
    <mergeCell ref="Z3:Z4"/>
    <mergeCell ref="Y3:Y4"/>
    <mergeCell ref="AK3:AK4"/>
    <mergeCell ref="AL3:AL4"/>
    <mergeCell ref="AM3:AM4"/>
    <mergeCell ref="AN3:AN4"/>
  </mergeCells>
  <conditionalFormatting sqref="B92">
    <cfRule type="duplicateValues" dxfId="67" priority="16"/>
  </conditionalFormatting>
  <conditionalFormatting sqref="B93">
    <cfRule type="duplicateValues" dxfId="66" priority="12"/>
  </conditionalFormatting>
  <conditionalFormatting sqref="B94">
    <cfRule type="duplicateValues" dxfId="65" priority="14"/>
  </conditionalFormatting>
  <conditionalFormatting sqref="B95">
    <cfRule type="duplicateValues" dxfId="64" priority="10"/>
  </conditionalFormatting>
  <conditionalFormatting sqref="B96">
    <cfRule type="duplicateValues" dxfId="63" priority="8"/>
  </conditionalFormatting>
  <conditionalFormatting sqref="B97">
    <cfRule type="duplicateValues" dxfId="62" priority="5"/>
  </conditionalFormatting>
  <conditionalFormatting sqref="B98">
    <cfRule type="duplicateValues" dxfId="61" priority="3"/>
  </conditionalFormatting>
  <conditionalFormatting sqref="C5:C17">
    <cfRule type="duplicateValues" dxfId="60" priority="93"/>
  </conditionalFormatting>
  <conditionalFormatting sqref="C18:C20">
    <cfRule type="duplicateValues" dxfId="59" priority="87"/>
  </conditionalFormatting>
  <conditionalFormatting sqref="C21">
    <cfRule type="duplicateValues" dxfId="58" priority="88"/>
  </conditionalFormatting>
  <conditionalFormatting sqref="C22">
    <cfRule type="duplicateValues" dxfId="57" priority="89"/>
  </conditionalFormatting>
  <conditionalFormatting sqref="C23">
    <cfRule type="duplicateValues" dxfId="56" priority="90"/>
  </conditionalFormatting>
  <conditionalFormatting sqref="C24">
    <cfRule type="duplicateValues" dxfId="55" priority="91"/>
  </conditionalFormatting>
  <conditionalFormatting sqref="C25">
    <cfRule type="duplicateValues" dxfId="54" priority="92"/>
  </conditionalFormatting>
  <conditionalFormatting sqref="C27">
    <cfRule type="duplicateValues" dxfId="53" priority="52"/>
  </conditionalFormatting>
  <conditionalFormatting sqref="C28">
    <cfRule type="duplicateValues" dxfId="52" priority="94"/>
  </conditionalFormatting>
  <conditionalFormatting sqref="C29">
    <cfRule type="duplicateValues" dxfId="51" priority="49"/>
  </conditionalFormatting>
  <conditionalFormatting sqref="C30">
    <cfRule type="duplicateValues" dxfId="50" priority="48"/>
  </conditionalFormatting>
  <conditionalFormatting sqref="C31">
    <cfRule type="duplicateValues" dxfId="49" priority="44"/>
  </conditionalFormatting>
  <conditionalFormatting sqref="C32">
    <cfRule type="duplicateValues" dxfId="48" priority="43"/>
  </conditionalFormatting>
  <conditionalFormatting sqref="C37">
    <cfRule type="duplicateValues" dxfId="47" priority="41"/>
  </conditionalFormatting>
  <conditionalFormatting sqref="C43">
    <cfRule type="duplicateValues" dxfId="46" priority="37"/>
  </conditionalFormatting>
  <conditionalFormatting sqref="C46">
    <cfRule type="duplicateValues" dxfId="45" priority="35"/>
  </conditionalFormatting>
  <conditionalFormatting sqref="C54">
    <cfRule type="duplicateValues" dxfId="44" priority="31"/>
  </conditionalFormatting>
  <conditionalFormatting sqref="C56">
    <cfRule type="duplicateValues" dxfId="43" priority="28"/>
  </conditionalFormatting>
  <conditionalFormatting sqref="C61">
    <cfRule type="duplicateValues" dxfId="42" priority="23"/>
  </conditionalFormatting>
  <conditionalFormatting sqref="C66">
    <cfRule type="duplicateValues" dxfId="41" priority="21"/>
  </conditionalFormatting>
  <conditionalFormatting sqref="C82">
    <cfRule type="duplicateValues" dxfId="40" priority="19"/>
  </conditionalFormatting>
  <conditionalFormatting sqref="C92">
    <cfRule type="duplicateValues" dxfId="39" priority="17"/>
  </conditionalFormatting>
  <conditionalFormatting sqref="C93">
    <cfRule type="duplicateValues" dxfId="38" priority="13"/>
  </conditionalFormatting>
  <conditionalFormatting sqref="C94">
    <cfRule type="duplicateValues" dxfId="37" priority="15"/>
  </conditionalFormatting>
  <conditionalFormatting sqref="C95">
    <cfRule type="duplicateValues" dxfId="36" priority="11"/>
  </conditionalFormatting>
  <conditionalFormatting sqref="C96">
    <cfRule type="duplicateValues" dxfId="35" priority="9"/>
  </conditionalFormatting>
  <conditionalFormatting sqref="C97">
    <cfRule type="duplicateValues" dxfId="34" priority="6"/>
    <cfRule type="duplicateValues" dxfId="33" priority="7"/>
  </conditionalFormatting>
  <conditionalFormatting sqref="C98">
    <cfRule type="duplicateValues" dxfId="32" priority="4"/>
  </conditionalFormatting>
  <conditionalFormatting sqref="G18">
    <cfRule type="duplicateValues" dxfId="31" priority="68"/>
  </conditionalFormatting>
  <conditionalFormatting sqref="G21">
    <cfRule type="duplicateValues" dxfId="30" priority="62"/>
  </conditionalFormatting>
  <conditionalFormatting sqref="G22">
    <cfRule type="duplicateValues" dxfId="29" priority="60"/>
  </conditionalFormatting>
  <conditionalFormatting sqref="G23">
    <cfRule type="duplicateValues" dxfId="28" priority="58"/>
  </conditionalFormatting>
  <conditionalFormatting sqref="G24">
    <cfRule type="duplicateValues" dxfId="27" priority="56"/>
  </conditionalFormatting>
  <conditionalFormatting sqref="G25">
    <cfRule type="duplicateValues" dxfId="26" priority="54"/>
  </conditionalFormatting>
  <conditionalFormatting sqref="G27">
    <cfRule type="duplicateValues" dxfId="25" priority="51"/>
  </conditionalFormatting>
  <conditionalFormatting sqref="G30">
    <cfRule type="duplicateValues" dxfId="24" priority="47"/>
  </conditionalFormatting>
  <conditionalFormatting sqref="G32">
    <cfRule type="duplicateValues" dxfId="23" priority="42"/>
  </conditionalFormatting>
  <conditionalFormatting sqref="G37">
    <cfRule type="duplicateValues" dxfId="22" priority="40"/>
  </conditionalFormatting>
  <conditionalFormatting sqref="G54">
    <cfRule type="duplicateValues" dxfId="21" priority="29"/>
  </conditionalFormatting>
  <conditionalFormatting sqref="H45">
    <cfRule type="duplicateValues" dxfId="20" priority="36"/>
  </conditionalFormatting>
  <conditionalFormatting sqref="H46">
    <cfRule type="duplicateValues" dxfId="19" priority="96"/>
  </conditionalFormatting>
  <conditionalFormatting sqref="H50">
    <cfRule type="duplicateValues" dxfId="18" priority="33"/>
  </conditionalFormatting>
  <conditionalFormatting sqref="H54">
    <cfRule type="duplicateValues" dxfId="17" priority="32"/>
  </conditionalFormatting>
  <conditionalFormatting sqref="H55">
    <cfRule type="duplicateValues" dxfId="16" priority="26"/>
  </conditionalFormatting>
  <conditionalFormatting sqref="H56">
    <cfRule type="duplicateValues" dxfId="15" priority="95"/>
  </conditionalFormatting>
  <conditionalFormatting sqref="H57">
    <cfRule type="duplicateValues" dxfId="14" priority="24"/>
  </conditionalFormatting>
  <conditionalFormatting sqref="C99:C100">
    <cfRule type="duplicateValues" dxfId="13" priority="2"/>
  </conditionalFormatting>
  <conditionalFormatting sqref="B99:B100">
    <cfRule type="duplicateValues" dxfId="12" priority="1"/>
  </conditionalFormatting>
  <hyperlinks>
    <hyperlink ref="AA45" r:id="rId1" xr:uid="{00000000-0004-0000-0200-000000000000}"/>
    <hyperlink ref="AA65" r:id="rId2" xr:uid="{00000000-0004-0000-0000-000004000000}"/>
    <hyperlink ref="AA74" r:id="rId3" xr:uid="{00000000-0004-0000-0000-000005000000}"/>
    <hyperlink ref="AA75" r:id="rId4" xr:uid="{00000000-0004-0000-0000-000008000000}"/>
    <hyperlink ref="AA95" r:id="rId5" xr:uid="{F283E049-1892-4845-9437-59B3198427DE}"/>
  </hyperlinks>
  <pageMargins left="0.7" right="0.7" top="0.75" bottom="0.75" header="0.3" footer="0.3"/>
  <pageSetup orientation="portrait" horizontalDpi="4294967293" verticalDpi="0" r:id="rId6"/>
  <legacy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341C-536E-4144-972A-58F6F88F3211}">
  <dimension ref="A1:H19"/>
  <sheetViews>
    <sheetView zoomScaleNormal="100" workbookViewId="0">
      <selection activeCell="A5" sqref="A5"/>
    </sheetView>
  </sheetViews>
  <sheetFormatPr defaultColWidth="9.109375" defaultRowHeight="24.6" x14ac:dyDescent="0.4"/>
  <cols>
    <col min="1" max="1" width="6.109375" style="84" customWidth="1"/>
    <col min="2" max="2" width="9.88671875" style="84" customWidth="1"/>
    <col min="3" max="3" width="10.5546875" style="84" customWidth="1"/>
    <col min="4" max="4" width="31.109375" style="84" customWidth="1"/>
    <col min="5" max="6" width="15.109375" style="84" customWidth="1"/>
    <col min="7" max="7" width="14.44140625" style="84" customWidth="1"/>
    <col min="8" max="8" width="16" style="84" customWidth="1"/>
    <col min="9" max="16384" width="9.109375" style="84"/>
  </cols>
  <sheetData>
    <row r="1" spans="1:8" ht="29.25" customHeight="1" x14ac:dyDescent="0.4">
      <c r="A1" s="400" t="s">
        <v>1673</v>
      </c>
      <c r="B1" s="400"/>
      <c r="C1" s="400"/>
      <c r="D1" s="400"/>
      <c r="E1" s="400"/>
      <c r="F1" s="400"/>
      <c r="G1" s="400"/>
      <c r="H1" s="400"/>
    </row>
    <row r="2" spans="1:8" s="88" customFormat="1" ht="24.75" customHeight="1" x14ac:dyDescent="0.3">
      <c r="A2" s="85" t="s">
        <v>794</v>
      </c>
      <c r="B2" s="85" t="s">
        <v>1667</v>
      </c>
      <c r="C2" s="85" t="s">
        <v>1668</v>
      </c>
      <c r="D2" s="86" t="s">
        <v>796</v>
      </c>
      <c r="E2" s="86" t="s">
        <v>18</v>
      </c>
      <c r="F2" s="87" t="s">
        <v>1669</v>
      </c>
      <c r="G2" s="87" t="s">
        <v>1670</v>
      </c>
      <c r="H2" s="87" t="s">
        <v>1671</v>
      </c>
    </row>
    <row r="3" spans="1:8" s="93" customFormat="1" ht="24.75" customHeight="1" x14ac:dyDescent="0.25">
      <c r="A3" s="89">
        <v>1</v>
      </c>
      <c r="B3" s="89">
        <v>2025</v>
      </c>
      <c r="C3" s="89" t="s">
        <v>1755</v>
      </c>
      <c r="D3" s="25" t="s">
        <v>1595</v>
      </c>
      <c r="E3" s="90"/>
      <c r="F3" s="91"/>
      <c r="G3" s="92"/>
      <c r="H3" s="92"/>
    </row>
    <row r="4" spans="1:8" s="93" customFormat="1" ht="24.75" customHeight="1" x14ac:dyDescent="0.25">
      <c r="A4" s="89">
        <v>2</v>
      </c>
      <c r="B4" s="89">
        <v>2025</v>
      </c>
      <c r="C4" s="89" t="s">
        <v>1771</v>
      </c>
      <c r="D4" s="25" t="s">
        <v>1645</v>
      </c>
      <c r="E4" s="90"/>
      <c r="F4" s="91"/>
      <c r="G4" s="92"/>
      <c r="H4" s="92"/>
    </row>
    <row r="5" spans="1:8" s="93" customFormat="1" ht="24.75" customHeight="1" x14ac:dyDescent="0.25">
      <c r="A5" s="89"/>
      <c r="B5" s="89"/>
      <c r="C5" s="89"/>
      <c r="D5" s="90"/>
      <c r="E5" s="90"/>
      <c r="F5" s="91"/>
      <c r="G5" s="92"/>
      <c r="H5" s="92"/>
    </row>
    <row r="6" spans="1:8" s="93" customFormat="1" ht="24.75" customHeight="1" x14ac:dyDescent="0.25">
      <c r="A6" s="89"/>
      <c r="B6" s="89"/>
      <c r="C6" s="89"/>
      <c r="D6" s="90"/>
      <c r="E6" s="90"/>
      <c r="F6" s="91"/>
      <c r="G6" s="92"/>
      <c r="H6" s="92"/>
    </row>
    <row r="7" spans="1:8" s="93" customFormat="1" ht="24.75" customHeight="1" x14ac:dyDescent="0.25">
      <c r="A7" s="89"/>
      <c r="B7" s="89"/>
      <c r="C7" s="89"/>
      <c r="D7" s="90"/>
      <c r="E7" s="90"/>
      <c r="F7" s="91"/>
      <c r="G7" s="92"/>
      <c r="H7" s="92"/>
    </row>
    <row r="8" spans="1:8" s="93" customFormat="1" ht="24.75" customHeight="1" x14ac:dyDescent="0.25">
      <c r="A8" s="89"/>
      <c r="B8" s="89"/>
      <c r="C8" s="89"/>
      <c r="D8" s="90"/>
      <c r="E8" s="90"/>
      <c r="F8" s="91"/>
      <c r="G8" s="92"/>
      <c r="H8" s="92"/>
    </row>
    <row r="9" spans="1:8" s="93" customFormat="1" ht="24.75" customHeight="1" x14ac:dyDescent="0.25">
      <c r="A9" s="89"/>
      <c r="B9" s="89"/>
      <c r="C9" s="89"/>
      <c r="D9" s="91"/>
      <c r="E9" s="91"/>
      <c r="F9" s="91"/>
      <c r="G9" s="92"/>
      <c r="H9" s="92"/>
    </row>
    <row r="10" spans="1:8" s="93" customFormat="1" ht="24.75" customHeight="1" x14ac:dyDescent="0.25">
      <c r="A10" s="89"/>
      <c r="B10" s="89"/>
      <c r="C10" s="89"/>
      <c r="D10" s="94"/>
      <c r="E10" s="94"/>
      <c r="F10" s="91"/>
      <c r="G10" s="92"/>
      <c r="H10" s="92"/>
    </row>
    <row r="11" spans="1:8" s="93" customFormat="1" ht="24.75" customHeight="1" x14ac:dyDescent="0.25">
      <c r="A11" s="89"/>
      <c r="B11" s="89"/>
      <c r="C11" s="89"/>
      <c r="D11" s="94"/>
      <c r="E11" s="94"/>
      <c r="F11" s="91"/>
      <c r="G11" s="92"/>
      <c r="H11" s="92"/>
    </row>
    <row r="12" spans="1:8" s="93" customFormat="1" ht="24.75" customHeight="1" x14ac:dyDescent="0.25">
      <c r="A12" s="89"/>
      <c r="B12" s="89"/>
      <c r="C12" s="89"/>
      <c r="D12" s="94"/>
      <c r="E12" s="94"/>
      <c r="F12" s="91"/>
      <c r="G12" s="92"/>
      <c r="H12" s="92"/>
    </row>
    <row r="13" spans="1:8" s="93" customFormat="1" ht="24.75" customHeight="1" x14ac:dyDescent="0.25">
      <c r="A13" s="89"/>
      <c r="B13" s="89"/>
      <c r="C13" s="89"/>
      <c r="D13" s="94"/>
      <c r="E13" s="94"/>
      <c r="F13" s="91"/>
      <c r="G13" s="92"/>
      <c r="H13" s="92"/>
    </row>
    <row r="14" spans="1:8" s="93" customFormat="1" ht="24.75" customHeight="1" x14ac:dyDescent="0.25">
      <c r="A14" s="89"/>
      <c r="B14" s="89"/>
      <c r="C14" s="89"/>
      <c r="D14" s="94"/>
      <c r="E14" s="94"/>
      <c r="F14" s="91"/>
      <c r="G14" s="92"/>
      <c r="H14" s="92"/>
    </row>
    <row r="15" spans="1:8" s="93" customFormat="1" ht="24.75" customHeight="1" x14ac:dyDescent="0.25">
      <c r="A15" s="89"/>
      <c r="B15" s="89"/>
      <c r="C15" s="89"/>
      <c r="D15" s="94"/>
      <c r="E15" s="94"/>
      <c r="F15" s="91"/>
      <c r="G15" s="92"/>
      <c r="H15" s="92"/>
    </row>
    <row r="16" spans="1:8" s="93" customFormat="1" ht="24.75" customHeight="1" x14ac:dyDescent="0.25">
      <c r="A16" s="89"/>
      <c r="B16" s="89"/>
      <c r="C16" s="89"/>
      <c r="D16" s="94"/>
      <c r="E16" s="94"/>
      <c r="F16" s="91"/>
      <c r="G16" s="92"/>
      <c r="H16" s="92"/>
    </row>
    <row r="17" spans="1:8" s="93" customFormat="1" ht="24.75" customHeight="1" x14ac:dyDescent="0.25">
      <c r="A17" s="89"/>
      <c r="B17" s="89"/>
      <c r="C17" s="89"/>
      <c r="D17" s="94"/>
      <c r="E17" s="94"/>
      <c r="F17" s="91"/>
      <c r="G17" s="92"/>
      <c r="H17" s="92"/>
    </row>
    <row r="18" spans="1:8" s="93" customFormat="1" ht="24.75" customHeight="1" x14ac:dyDescent="0.25">
      <c r="A18" s="89"/>
      <c r="B18" s="89"/>
      <c r="C18" s="89"/>
      <c r="D18" s="94"/>
      <c r="E18" s="94"/>
      <c r="F18" s="91"/>
      <c r="G18" s="92"/>
      <c r="H18" s="92"/>
    </row>
    <row r="19" spans="1:8" s="93" customFormat="1" ht="23.25" customHeight="1" x14ac:dyDescent="0.25"/>
  </sheetData>
  <mergeCells count="1">
    <mergeCell ref="A1:H1"/>
  </mergeCells>
  <phoneticPr fontId="42" type="noConversion"/>
  <conditionalFormatting sqref="D5:E8 E3:E4">
    <cfRule type="duplicateValues" dxfId="11" priority="1"/>
  </conditionalFormatting>
  <pageMargins left="0.7" right="0.7" top="0.75" bottom="0.75" header="0.3" footer="0.3"/>
  <pageSetup paperSize="9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462"/>
  <sheetViews>
    <sheetView workbookViewId="0">
      <pane xSplit="3" ySplit="3" topLeftCell="D103" activePane="bottomRight" state="frozen"/>
      <selection pane="topRight" activeCell="C1" sqref="C1"/>
      <selection pane="bottomLeft" activeCell="A3" sqref="A3"/>
      <selection pane="bottomRight" activeCell="C114" sqref="C114"/>
    </sheetView>
  </sheetViews>
  <sheetFormatPr defaultColWidth="9.109375" defaultRowHeight="15.6" x14ac:dyDescent="0.3"/>
  <cols>
    <col min="1" max="1" width="4.109375" style="121" customWidth="1"/>
    <col min="2" max="2" width="11.44140625" style="121" customWidth="1"/>
    <col min="3" max="3" width="25.33203125" style="121" bestFit="1" customWidth="1"/>
    <col min="4" max="4" width="9.109375" style="122" customWidth="1"/>
    <col min="5" max="5" width="12.109375" style="123" customWidth="1"/>
    <col min="6" max="6" width="26" style="122" bestFit="1" customWidth="1"/>
    <col min="7" max="7" width="11.33203125" style="168" customWidth="1"/>
    <col min="8" max="8" width="13" style="123" customWidth="1"/>
    <col min="9" max="9" width="17.44140625" style="123" customWidth="1"/>
    <col min="10" max="10" width="16.5546875" style="124" customWidth="1"/>
    <col min="11" max="12" width="15.109375" style="125" customWidth="1"/>
    <col min="13" max="13" width="58.44140625" style="121" customWidth="1"/>
    <col min="14" max="16384" width="9.109375" style="121"/>
  </cols>
  <sheetData>
    <row r="1" spans="1:13" ht="16.2" thickBot="1" x14ac:dyDescent="0.35"/>
    <row r="2" spans="1:13" ht="42.75" customHeight="1" x14ac:dyDescent="0.3">
      <c r="H2" s="126" t="s">
        <v>793</v>
      </c>
      <c r="I2" s="127">
        <v>10</v>
      </c>
    </row>
    <row r="3" spans="1:13" ht="30" customHeight="1" x14ac:dyDescent="0.3">
      <c r="A3" s="128" t="s">
        <v>794</v>
      </c>
      <c r="B3" s="129" t="s">
        <v>795</v>
      </c>
      <c r="C3" s="128" t="s">
        <v>796</v>
      </c>
      <c r="D3" s="128" t="s">
        <v>797</v>
      </c>
      <c r="E3" s="130" t="s">
        <v>798</v>
      </c>
      <c r="F3" s="128" t="s">
        <v>799</v>
      </c>
      <c r="G3" s="129" t="s">
        <v>800</v>
      </c>
      <c r="H3" s="131" t="s">
        <v>801</v>
      </c>
      <c r="I3" s="130" t="s">
        <v>802</v>
      </c>
      <c r="J3" s="132" t="s">
        <v>1484</v>
      </c>
      <c r="K3" s="133" t="s">
        <v>803</v>
      </c>
      <c r="L3" s="134" t="s">
        <v>804</v>
      </c>
      <c r="M3" s="130" t="s">
        <v>32</v>
      </c>
    </row>
    <row r="4" spans="1:13" s="122" customFormat="1" x14ac:dyDescent="0.3">
      <c r="A4" s="135">
        <f>IF(C4="","",SUBTOTAL(3,$C$4:C4))</f>
        <v>1</v>
      </c>
      <c r="B4" s="135"/>
      <c r="C4" s="136" t="s">
        <v>462</v>
      </c>
      <c r="D4" s="136" t="s">
        <v>34</v>
      </c>
      <c r="E4" s="137">
        <v>1975</v>
      </c>
      <c r="F4" s="136" t="s">
        <v>127</v>
      </c>
      <c r="G4" s="138">
        <v>44341</v>
      </c>
      <c r="H4" s="138"/>
      <c r="I4" s="138">
        <v>44402</v>
      </c>
      <c r="J4" s="139"/>
      <c r="K4" s="140">
        <v>6000000</v>
      </c>
      <c r="L4" s="140">
        <v>6000000</v>
      </c>
      <c r="M4" s="141" t="s">
        <v>805</v>
      </c>
    </row>
    <row r="5" spans="1:13" x14ac:dyDescent="0.3">
      <c r="A5" s="135">
        <f>IF(C5="","",SUBTOTAL(3,$C$4:C5))</f>
        <v>2</v>
      </c>
      <c r="B5" s="135" t="s">
        <v>806</v>
      </c>
      <c r="C5" s="136" t="s">
        <v>77</v>
      </c>
      <c r="D5" s="136" t="s">
        <v>78</v>
      </c>
      <c r="E5" s="138">
        <v>34539</v>
      </c>
      <c r="F5" s="136" t="s">
        <v>807</v>
      </c>
      <c r="G5" s="138">
        <v>44340</v>
      </c>
      <c r="H5" s="138">
        <v>44473</v>
      </c>
      <c r="I5" s="142">
        <v>44504</v>
      </c>
      <c r="J5" s="139"/>
      <c r="K5" s="143">
        <v>8000000</v>
      </c>
      <c r="L5" s="143">
        <v>10000000</v>
      </c>
      <c r="M5" s="141"/>
    </row>
    <row r="6" spans="1:13" x14ac:dyDescent="0.3">
      <c r="A6" s="135">
        <f>IF(C6="","",SUBTOTAL(3,$C$4:C6))</f>
        <v>3</v>
      </c>
      <c r="B6" s="144" t="s">
        <v>806</v>
      </c>
      <c r="C6" s="136" t="s">
        <v>468</v>
      </c>
      <c r="D6" s="136" t="s">
        <v>34</v>
      </c>
      <c r="E6" s="138">
        <v>28628</v>
      </c>
      <c r="F6" s="136" t="s">
        <v>808</v>
      </c>
      <c r="G6" s="138">
        <v>44487</v>
      </c>
      <c r="H6" s="138"/>
      <c r="I6" s="142">
        <v>44518</v>
      </c>
      <c r="J6" s="139"/>
      <c r="K6" s="143">
        <v>6000000</v>
      </c>
      <c r="L6" s="143">
        <v>7000000</v>
      </c>
      <c r="M6" s="141" t="s">
        <v>809</v>
      </c>
    </row>
    <row r="7" spans="1:13" x14ac:dyDescent="0.3">
      <c r="A7" s="135">
        <f>IF(C7="","",SUBTOTAL(3,$C$4:C7))</f>
        <v>4</v>
      </c>
      <c r="B7" s="135"/>
      <c r="C7" s="136" t="s">
        <v>810</v>
      </c>
      <c r="D7" s="136" t="s">
        <v>34</v>
      </c>
      <c r="E7" s="138">
        <v>22262</v>
      </c>
      <c r="F7" s="136" t="s">
        <v>808</v>
      </c>
      <c r="G7" s="138">
        <v>44491</v>
      </c>
      <c r="H7" s="138">
        <v>44552</v>
      </c>
      <c r="I7" s="142"/>
      <c r="J7" s="139"/>
      <c r="K7" s="143">
        <v>6500000</v>
      </c>
      <c r="L7" s="143">
        <v>8000000</v>
      </c>
      <c r="M7" s="141" t="s">
        <v>811</v>
      </c>
    </row>
    <row r="8" spans="1:13" x14ac:dyDescent="0.3">
      <c r="A8" s="135">
        <f>IF(C8="","",SUBTOTAL(3,$C$4:C8))</f>
        <v>5</v>
      </c>
      <c r="B8" s="135" t="s">
        <v>806</v>
      </c>
      <c r="C8" s="136" t="s">
        <v>485</v>
      </c>
      <c r="D8" s="136" t="s">
        <v>34</v>
      </c>
      <c r="E8" s="138">
        <v>33626</v>
      </c>
      <c r="F8" s="136" t="s">
        <v>812</v>
      </c>
      <c r="G8" s="138">
        <v>44494</v>
      </c>
      <c r="H8" s="138"/>
      <c r="I8" s="142">
        <v>44555</v>
      </c>
      <c r="J8" s="139"/>
      <c r="K8" s="143">
        <v>12000000</v>
      </c>
      <c r="L8" s="143">
        <v>15000000</v>
      </c>
      <c r="M8" s="141"/>
    </row>
    <row r="9" spans="1:13" x14ac:dyDescent="0.3">
      <c r="A9" s="135">
        <f>IF(C9="","",SUBTOTAL(3,$C$4:C9))</f>
        <v>6</v>
      </c>
      <c r="B9" s="135"/>
      <c r="C9" s="136" t="s">
        <v>813</v>
      </c>
      <c r="D9" s="136" t="s">
        <v>34</v>
      </c>
      <c r="E9" s="138">
        <v>22883</v>
      </c>
      <c r="F9" s="136" t="s">
        <v>750</v>
      </c>
      <c r="G9" s="138">
        <v>44501</v>
      </c>
      <c r="H9" s="138">
        <v>44531</v>
      </c>
      <c r="I9" s="142">
        <v>44562</v>
      </c>
      <c r="J9" s="139"/>
      <c r="K9" s="143">
        <v>15000000</v>
      </c>
      <c r="L9" s="143"/>
      <c r="M9" s="141" t="s">
        <v>814</v>
      </c>
    </row>
    <row r="10" spans="1:13" s="122" customFormat="1" x14ac:dyDescent="0.3">
      <c r="A10" s="135">
        <f>IF(C10="","",SUBTOTAL(3,$C$4:C10))</f>
        <v>7</v>
      </c>
      <c r="B10" s="135"/>
      <c r="C10" s="136" t="s">
        <v>494</v>
      </c>
      <c r="D10" s="136" t="s">
        <v>34</v>
      </c>
      <c r="E10" s="138">
        <v>21551</v>
      </c>
      <c r="F10" s="136" t="s">
        <v>808</v>
      </c>
      <c r="G10" s="138">
        <v>44525</v>
      </c>
      <c r="H10" s="138"/>
      <c r="I10" s="138">
        <v>44555</v>
      </c>
      <c r="J10" s="139"/>
      <c r="K10" s="140">
        <v>7000000</v>
      </c>
      <c r="L10" s="140">
        <v>7000000</v>
      </c>
      <c r="M10" s="141"/>
    </row>
    <row r="11" spans="1:13" s="122" customFormat="1" x14ac:dyDescent="0.3">
      <c r="A11" s="135">
        <f>IF(C11="","",SUBTOTAL(3,$C$4:C11))</f>
        <v>8</v>
      </c>
      <c r="B11" s="135" t="s">
        <v>806</v>
      </c>
      <c r="C11" s="136" t="s">
        <v>815</v>
      </c>
      <c r="D11" s="136" t="s">
        <v>34</v>
      </c>
      <c r="E11" s="138">
        <v>28082</v>
      </c>
      <c r="F11" s="136" t="s">
        <v>103</v>
      </c>
      <c r="G11" s="138">
        <v>44551</v>
      </c>
      <c r="H11" s="138"/>
      <c r="I11" s="138">
        <v>44582</v>
      </c>
      <c r="J11" s="139"/>
      <c r="K11" s="140">
        <v>5600000</v>
      </c>
      <c r="L11" s="140">
        <v>8000000</v>
      </c>
      <c r="M11" s="141"/>
    </row>
    <row r="12" spans="1:13" s="122" customFormat="1" x14ac:dyDescent="0.3">
      <c r="A12" s="135">
        <f>IF(C12="","",SUBTOTAL(3,$C$4:C12))</f>
        <v>9</v>
      </c>
      <c r="B12" s="135"/>
      <c r="C12" s="136" t="s">
        <v>816</v>
      </c>
      <c r="D12" s="136" t="s">
        <v>34</v>
      </c>
      <c r="E12" s="138">
        <v>34285</v>
      </c>
      <c r="F12" s="136" t="s">
        <v>817</v>
      </c>
      <c r="G12" s="138">
        <v>44610</v>
      </c>
      <c r="H12" s="138"/>
      <c r="I12" s="138">
        <v>44638</v>
      </c>
      <c r="J12" s="139"/>
      <c r="K12" s="140">
        <v>16000000</v>
      </c>
      <c r="L12" s="140">
        <v>20000000</v>
      </c>
      <c r="M12" s="141" t="s">
        <v>818</v>
      </c>
    </row>
    <row r="13" spans="1:13" s="122" customFormat="1" x14ac:dyDescent="0.3">
      <c r="A13" s="135">
        <f>IF(C13="","",SUBTOTAL(3,$C$4:C13))</f>
        <v>10</v>
      </c>
      <c r="B13" s="135"/>
      <c r="C13" s="145" t="s">
        <v>819</v>
      </c>
      <c r="D13" s="145" t="s">
        <v>34</v>
      </c>
      <c r="E13" s="146">
        <v>34566</v>
      </c>
      <c r="F13" s="145" t="s">
        <v>298</v>
      </c>
      <c r="G13" s="146">
        <v>44621</v>
      </c>
      <c r="H13" s="146"/>
      <c r="I13" s="146">
        <v>44682</v>
      </c>
      <c r="J13" s="147"/>
      <c r="K13" s="148">
        <v>13600000</v>
      </c>
      <c r="L13" s="148">
        <v>17000000</v>
      </c>
      <c r="M13" s="141" t="s">
        <v>820</v>
      </c>
    </row>
    <row r="14" spans="1:13" s="122" customFormat="1" x14ac:dyDescent="0.3">
      <c r="A14" s="135">
        <f>IF(C14="","",SUBTOTAL(3,$C$4:C14))</f>
        <v>11</v>
      </c>
      <c r="B14" s="135"/>
      <c r="C14" s="136" t="s">
        <v>821</v>
      </c>
      <c r="D14" s="136" t="s">
        <v>34</v>
      </c>
      <c r="E14" s="138">
        <v>33903</v>
      </c>
      <c r="F14" s="136" t="s">
        <v>822</v>
      </c>
      <c r="G14" s="138">
        <v>44624</v>
      </c>
      <c r="H14" s="138"/>
      <c r="I14" s="138">
        <v>44685</v>
      </c>
      <c r="J14" s="139"/>
      <c r="K14" s="140">
        <v>14000000</v>
      </c>
      <c r="L14" s="140">
        <v>16000000</v>
      </c>
      <c r="M14" s="141" t="s">
        <v>823</v>
      </c>
    </row>
    <row r="15" spans="1:13" s="122" customFormat="1" x14ac:dyDescent="0.3">
      <c r="A15" s="135">
        <f>IF(C15="","",SUBTOTAL(3,$C$4:C15))</f>
        <v>12</v>
      </c>
      <c r="B15" s="135" t="s">
        <v>806</v>
      </c>
      <c r="C15" s="136" t="s">
        <v>824</v>
      </c>
      <c r="D15" s="136" t="s">
        <v>34</v>
      </c>
      <c r="E15" s="138">
        <v>34502</v>
      </c>
      <c r="F15" s="136" t="s">
        <v>825</v>
      </c>
      <c r="G15" s="138">
        <v>44627</v>
      </c>
      <c r="H15" s="138"/>
      <c r="I15" s="138">
        <v>44688</v>
      </c>
      <c r="J15" s="139"/>
      <c r="K15" s="140">
        <v>14000000</v>
      </c>
      <c r="L15" s="140">
        <v>18000000</v>
      </c>
      <c r="M15" s="141" t="s">
        <v>826</v>
      </c>
    </row>
    <row r="16" spans="1:13" s="122" customFormat="1" x14ac:dyDescent="0.3">
      <c r="A16" s="135">
        <f>IF(C16="","",SUBTOTAL(3,$C$4:C16))</f>
        <v>13</v>
      </c>
      <c r="B16" s="135"/>
      <c r="C16" s="136" t="s">
        <v>827</v>
      </c>
      <c r="D16" s="136" t="s">
        <v>34</v>
      </c>
      <c r="E16" s="138">
        <v>34176</v>
      </c>
      <c r="F16" s="136" t="s">
        <v>817</v>
      </c>
      <c r="G16" s="138">
        <v>44641</v>
      </c>
      <c r="H16" s="138"/>
      <c r="I16" s="138">
        <v>44672</v>
      </c>
      <c r="J16" s="139"/>
      <c r="K16" s="140">
        <v>15000000</v>
      </c>
      <c r="L16" s="140">
        <v>18000000</v>
      </c>
      <c r="M16" s="141" t="s">
        <v>828</v>
      </c>
    </row>
    <row r="17" spans="1:13" s="122" customFormat="1" x14ac:dyDescent="0.3">
      <c r="A17" s="135">
        <f>IF(C17="","",SUBTOTAL(3,$C$4:C17))</f>
        <v>14</v>
      </c>
      <c r="B17" s="135"/>
      <c r="C17" s="136" t="s">
        <v>829</v>
      </c>
      <c r="D17" s="136" t="s">
        <v>34</v>
      </c>
      <c r="E17" s="138">
        <v>32635</v>
      </c>
      <c r="F17" s="136" t="s">
        <v>298</v>
      </c>
      <c r="G17" s="138">
        <v>44652</v>
      </c>
      <c r="H17" s="138"/>
      <c r="I17" s="138">
        <v>44713</v>
      </c>
      <c r="J17" s="139"/>
      <c r="K17" s="140">
        <v>15000000</v>
      </c>
      <c r="L17" s="140">
        <v>17000000</v>
      </c>
      <c r="M17" s="141" t="s">
        <v>830</v>
      </c>
    </row>
    <row r="18" spans="1:13" s="122" customFormat="1" x14ac:dyDescent="0.3">
      <c r="A18" s="135">
        <f>IF(C18="","",SUBTOTAL(3,$C$4:C18))</f>
        <v>15</v>
      </c>
      <c r="B18" s="135" t="s">
        <v>806</v>
      </c>
      <c r="C18" s="136" t="s">
        <v>498</v>
      </c>
      <c r="D18" s="136" t="s">
        <v>34</v>
      </c>
      <c r="E18" s="138">
        <v>35116</v>
      </c>
      <c r="F18" s="136" t="s">
        <v>298</v>
      </c>
      <c r="G18" s="138">
        <v>44684</v>
      </c>
      <c r="H18" s="138"/>
      <c r="I18" s="138">
        <v>44745</v>
      </c>
      <c r="J18" s="139"/>
      <c r="K18" s="140">
        <v>9000000</v>
      </c>
      <c r="L18" s="140">
        <v>12000000</v>
      </c>
      <c r="M18" s="141"/>
    </row>
    <row r="19" spans="1:13" x14ac:dyDescent="0.3">
      <c r="A19" s="135">
        <f>IF(C19="","",SUBTOTAL(3,$C$4:C19))</f>
        <v>16</v>
      </c>
      <c r="B19" s="135"/>
      <c r="C19" s="149" t="s">
        <v>831</v>
      </c>
      <c r="D19" s="141" t="s">
        <v>34</v>
      </c>
      <c r="E19" s="142">
        <v>31927</v>
      </c>
      <c r="F19" s="141" t="s">
        <v>832</v>
      </c>
      <c r="G19" s="142">
        <v>44690</v>
      </c>
      <c r="H19" s="142"/>
      <c r="I19" s="142">
        <v>44721</v>
      </c>
      <c r="J19" s="150"/>
      <c r="K19" s="143">
        <v>12000000</v>
      </c>
      <c r="L19" s="143">
        <v>15000000</v>
      </c>
      <c r="M19" s="149" t="s">
        <v>833</v>
      </c>
    </row>
    <row r="20" spans="1:13" x14ac:dyDescent="0.3">
      <c r="A20" s="135">
        <f>IF(C20="","",SUBTOTAL(3,$C$4:C20))</f>
        <v>17</v>
      </c>
      <c r="B20" s="135" t="s">
        <v>806</v>
      </c>
      <c r="C20" s="151" t="s">
        <v>511</v>
      </c>
      <c r="D20" s="141" t="s">
        <v>34</v>
      </c>
      <c r="E20" s="142">
        <v>33544</v>
      </c>
      <c r="F20" s="141" t="s">
        <v>298</v>
      </c>
      <c r="G20" s="142">
        <v>44704</v>
      </c>
      <c r="H20" s="142"/>
      <c r="I20" s="142">
        <v>44765</v>
      </c>
      <c r="J20" s="150"/>
      <c r="K20" s="143">
        <v>12000000</v>
      </c>
      <c r="L20" s="143">
        <v>16000000</v>
      </c>
      <c r="M20" s="141"/>
    </row>
    <row r="21" spans="1:13" x14ac:dyDescent="0.3">
      <c r="A21" s="135">
        <f>IF(C21="","",SUBTOTAL(3,$C$4:C21))</f>
        <v>18</v>
      </c>
      <c r="B21" s="135" t="s">
        <v>806</v>
      </c>
      <c r="C21" s="149" t="s">
        <v>524</v>
      </c>
      <c r="D21" s="141" t="s">
        <v>34</v>
      </c>
      <c r="E21" s="142">
        <v>34103</v>
      </c>
      <c r="F21" s="141" t="s">
        <v>817</v>
      </c>
      <c r="G21" s="142">
        <v>44705</v>
      </c>
      <c r="H21" s="142"/>
      <c r="I21" s="142">
        <v>44766</v>
      </c>
      <c r="J21" s="150"/>
      <c r="K21" s="143">
        <v>15500000</v>
      </c>
      <c r="L21" s="143">
        <v>18000000</v>
      </c>
      <c r="M21" s="141"/>
    </row>
    <row r="22" spans="1:13" x14ac:dyDescent="0.3">
      <c r="A22" s="135">
        <f>IF(C22="","",SUBTOTAL(3,$C$4:C22))</f>
        <v>19</v>
      </c>
      <c r="B22" s="135"/>
      <c r="C22" s="149" t="s">
        <v>834</v>
      </c>
      <c r="D22" s="141" t="s">
        <v>34</v>
      </c>
      <c r="E22" s="142">
        <v>30176</v>
      </c>
      <c r="F22" s="141" t="s">
        <v>298</v>
      </c>
      <c r="G22" s="142">
        <v>44713</v>
      </c>
      <c r="H22" s="142"/>
      <c r="I22" s="142">
        <v>44774</v>
      </c>
      <c r="J22" s="150"/>
      <c r="K22" s="143">
        <v>15000000</v>
      </c>
      <c r="L22" s="143"/>
      <c r="M22" s="141" t="s">
        <v>835</v>
      </c>
    </row>
    <row r="23" spans="1:13" x14ac:dyDescent="0.3">
      <c r="A23" s="135">
        <f>IF(C23="","",SUBTOTAL(3,$C$4:C23))</f>
        <v>20</v>
      </c>
      <c r="B23" s="135" t="s">
        <v>806</v>
      </c>
      <c r="C23" s="149" t="s">
        <v>836</v>
      </c>
      <c r="D23" s="141" t="s">
        <v>34</v>
      </c>
      <c r="E23" s="142">
        <v>27425</v>
      </c>
      <c r="F23" s="141" t="s">
        <v>837</v>
      </c>
      <c r="G23" s="142"/>
      <c r="H23" s="142"/>
      <c r="I23" s="142">
        <v>44749</v>
      </c>
      <c r="J23" s="150"/>
      <c r="K23" s="143">
        <v>8000000</v>
      </c>
      <c r="L23" s="143">
        <v>9000000</v>
      </c>
      <c r="M23" s="141"/>
    </row>
    <row r="24" spans="1:13" x14ac:dyDescent="0.3">
      <c r="A24" s="135">
        <f>IF(C24="","",SUBTOTAL(3,$C$4:C24))</f>
        <v>21</v>
      </c>
      <c r="B24" s="135" t="s">
        <v>806</v>
      </c>
      <c r="C24" s="149" t="s">
        <v>545</v>
      </c>
      <c r="D24" s="141" t="s">
        <v>34</v>
      </c>
      <c r="E24" s="142">
        <v>21186</v>
      </c>
      <c r="F24" s="141" t="s">
        <v>808</v>
      </c>
      <c r="G24" s="142"/>
      <c r="H24" s="142"/>
      <c r="I24" s="142">
        <v>44767</v>
      </c>
      <c r="J24" s="150"/>
      <c r="K24" s="143">
        <v>8000000</v>
      </c>
      <c r="L24" s="143">
        <v>9000000</v>
      </c>
      <c r="M24" s="141"/>
    </row>
    <row r="25" spans="1:13" x14ac:dyDescent="0.3">
      <c r="A25" s="135">
        <f>IF(C25="","",SUBTOTAL(3,$C$4:C25))</f>
        <v>22</v>
      </c>
      <c r="B25" s="135" t="s">
        <v>806</v>
      </c>
      <c r="C25" s="149" t="s">
        <v>540</v>
      </c>
      <c r="D25" s="141" t="s">
        <v>34</v>
      </c>
      <c r="E25" s="142">
        <v>34490</v>
      </c>
      <c r="F25" s="141" t="s">
        <v>832</v>
      </c>
      <c r="G25" s="142">
        <v>44729</v>
      </c>
      <c r="H25" s="142"/>
      <c r="I25" s="142">
        <v>44790</v>
      </c>
      <c r="J25" s="150"/>
      <c r="K25" s="143">
        <v>10000000</v>
      </c>
      <c r="L25" s="143">
        <v>13000000</v>
      </c>
      <c r="M25" s="141" t="s">
        <v>838</v>
      </c>
    </row>
    <row r="26" spans="1:13" x14ac:dyDescent="0.3">
      <c r="A26" s="135">
        <f>IF(C26="","",SUBTOTAL(3,$C$4:C26))</f>
        <v>23</v>
      </c>
      <c r="B26" s="135"/>
      <c r="C26" s="149" t="s">
        <v>839</v>
      </c>
      <c r="D26" s="141" t="s">
        <v>34</v>
      </c>
      <c r="E26" s="142">
        <v>30159</v>
      </c>
      <c r="F26" s="141" t="s">
        <v>840</v>
      </c>
      <c r="G26" s="142">
        <v>44743</v>
      </c>
      <c r="H26" s="142"/>
      <c r="I26" s="142">
        <v>44805</v>
      </c>
      <c r="J26" s="150"/>
      <c r="K26" s="143">
        <v>16000000</v>
      </c>
      <c r="L26" s="143"/>
      <c r="M26" s="141" t="s">
        <v>841</v>
      </c>
    </row>
    <row r="27" spans="1:13" x14ac:dyDescent="0.3">
      <c r="A27" s="135">
        <f>IF(C27="","",SUBTOTAL(3,$C$4:C27))</f>
        <v>24</v>
      </c>
      <c r="B27" s="135"/>
      <c r="C27" s="149" t="s">
        <v>842</v>
      </c>
      <c r="D27" s="141" t="s">
        <v>34</v>
      </c>
      <c r="E27" s="142">
        <v>35845</v>
      </c>
      <c r="F27" s="141" t="s">
        <v>298</v>
      </c>
      <c r="G27" s="142">
        <v>44756</v>
      </c>
      <c r="H27" s="142"/>
      <c r="I27" s="142">
        <v>44818</v>
      </c>
      <c r="J27" s="150"/>
      <c r="K27" s="143">
        <v>10000000</v>
      </c>
      <c r="L27" s="143"/>
      <c r="M27" s="141" t="s">
        <v>843</v>
      </c>
    </row>
    <row r="28" spans="1:13" x14ac:dyDescent="0.3">
      <c r="A28" s="135">
        <f>IF(C28="","",SUBTOTAL(3,$C$4:C28))</f>
        <v>25</v>
      </c>
      <c r="B28" s="135"/>
      <c r="C28" s="149" t="s">
        <v>844</v>
      </c>
      <c r="D28" s="141" t="s">
        <v>34</v>
      </c>
      <c r="E28" s="142">
        <v>34125</v>
      </c>
      <c r="F28" s="141" t="s">
        <v>298</v>
      </c>
      <c r="G28" s="142">
        <v>44760</v>
      </c>
      <c r="H28" s="142"/>
      <c r="I28" s="142">
        <v>44822</v>
      </c>
      <c r="J28" s="150"/>
      <c r="K28" s="143">
        <v>15000000</v>
      </c>
      <c r="L28" s="143"/>
      <c r="M28" s="141" t="s">
        <v>845</v>
      </c>
    </row>
    <row r="29" spans="1:13" x14ac:dyDescent="0.3">
      <c r="A29" s="135">
        <f>IF(C29="","",SUBTOTAL(3,$C$4:C29))</f>
        <v>26</v>
      </c>
      <c r="B29" s="135" t="s">
        <v>806</v>
      </c>
      <c r="C29" s="149" t="s">
        <v>846</v>
      </c>
      <c r="D29" s="141" t="s">
        <v>34</v>
      </c>
      <c r="E29" s="142">
        <v>34728</v>
      </c>
      <c r="F29" s="141" t="s">
        <v>298</v>
      </c>
      <c r="G29" s="142">
        <v>44768</v>
      </c>
      <c r="H29" s="142"/>
      <c r="I29" s="142">
        <v>44830</v>
      </c>
      <c r="J29" s="150"/>
      <c r="K29" s="143">
        <v>11500000</v>
      </c>
      <c r="L29" s="143">
        <v>14000000</v>
      </c>
      <c r="M29" s="141"/>
    </row>
    <row r="30" spans="1:13" x14ac:dyDescent="0.3">
      <c r="A30" s="135">
        <f>IF(C30="","",SUBTOTAL(3,$C$4:C30))</f>
        <v>27</v>
      </c>
      <c r="B30" s="135" t="s">
        <v>806</v>
      </c>
      <c r="C30" s="149" t="s">
        <v>847</v>
      </c>
      <c r="D30" s="141" t="s">
        <v>34</v>
      </c>
      <c r="E30" s="142">
        <v>32053</v>
      </c>
      <c r="F30" s="141" t="s">
        <v>298</v>
      </c>
      <c r="G30" s="142">
        <v>44774</v>
      </c>
      <c r="H30" s="142"/>
      <c r="I30" s="142">
        <v>44835</v>
      </c>
      <c r="J30" s="150"/>
      <c r="K30" s="143">
        <v>17000000</v>
      </c>
      <c r="L30" s="143">
        <v>18000000</v>
      </c>
      <c r="M30" s="141"/>
    </row>
    <row r="31" spans="1:13" x14ac:dyDescent="0.3">
      <c r="A31" s="135">
        <f>IF(C31="","",SUBTOTAL(3,$C$4:C31))</f>
        <v>28</v>
      </c>
      <c r="B31" s="135"/>
      <c r="C31" s="149" t="s">
        <v>848</v>
      </c>
      <c r="D31" s="141" t="s">
        <v>34</v>
      </c>
      <c r="E31" s="142">
        <v>33535</v>
      </c>
      <c r="F31" s="141" t="s">
        <v>849</v>
      </c>
      <c r="G31" s="142">
        <v>44788</v>
      </c>
      <c r="H31" s="142"/>
      <c r="I31" s="142">
        <v>44849</v>
      </c>
      <c r="J31" s="150"/>
      <c r="K31" s="143">
        <v>12000000</v>
      </c>
      <c r="L31" s="143"/>
      <c r="M31" s="141" t="s">
        <v>850</v>
      </c>
    </row>
    <row r="32" spans="1:13" x14ac:dyDescent="0.3">
      <c r="A32" s="135">
        <f>IF(C32="","",SUBTOTAL(3,$C$4:C32))</f>
        <v>29</v>
      </c>
      <c r="B32" s="135"/>
      <c r="C32" s="149" t="s">
        <v>851</v>
      </c>
      <c r="D32" s="141" t="s">
        <v>34</v>
      </c>
      <c r="E32" s="142">
        <v>31664</v>
      </c>
      <c r="F32" s="141" t="s">
        <v>104</v>
      </c>
      <c r="G32" s="142">
        <v>44818</v>
      </c>
      <c r="H32" s="142"/>
      <c r="I32" s="142">
        <v>44879</v>
      </c>
      <c r="J32" s="150"/>
      <c r="K32" s="143">
        <v>7200000</v>
      </c>
      <c r="L32" s="143">
        <v>9000000</v>
      </c>
      <c r="M32" s="141" t="s">
        <v>852</v>
      </c>
    </row>
    <row r="33" spans="1:13" x14ac:dyDescent="0.3">
      <c r="A33" s="135">
        <f>IF(C33="","",SUBTOTAL(3,$C$4:C33))</f>
        <v>30</v>
      </c>
      <c r="B33" s="135"/>
      <c r="C33" s="149" t="s">
        <v>853</v>
      </c>
      <c r="D33" s="141" t="s">
        <v>34</v>
      </c>
      <c r="E33" s="142">
        <v>31596</v>
      </c>
      <c r="F33" s="141" t="s">
        <v>104</v>
      </c>
      <c r="G33" s="142">
        <v>44825</v>
      </c>
      <c r="H33" s="142"/>
      <c r="I33" s="142">
        <v>44855</v>
      </c>
      <c r="J33" s="150"/>
      <c r="K33" s="143">
        <v>7200000</v>
      </c>
      <c r="L33" s="143">
        <v>9000000</v>
      </c>
      <c r="M33" s="141" t="s">
        <v>854</v>
      </c>
    </row>
    <row r="34" spans="1:13" x14ac:dyDescent="0.3">
      <c r="A34" s="135">
        <f>IF(C34="","",SUBTOTAL(3,$C$4:C34))</f>
        <v>31</v>
      </c>
      <c r="B34" s="135"/>
      <c r="C34" s="149" t="s">
        <v>855</v>
      </c>
      <c r="D34" s="141" t="s">
        <v>34</v>
      </c>
      <c r="E34" s="142">
        <v>35250</v>
      </c>
      <c r="F34" s="141" t="s">
        <v>856</v>
      </c>
      <c r="G34" s="142">
        <v>44826</v>
      </c>
      <c r="H34" s="142"/>
      <c r="I34" s="142">
        <v>44856</v>
      </c>
      <c r="J34" s="150"/>
      <c r="K34" s="143">
        <v>10000000</v>
      </c>
      <c r="L34" s="143"/>
      <c r="M34" s="141" t="s">
        <v>857</v>
      </c>
    </row>
    <row r="35" spans="1:13" x14ac:dyDescent="0.3">
      <c r="A35" s="135">
        <f>IF(C35="","",SUBTOTAL(3,$C$4:C35))</f>
        <v>32</v>
      </c>
      <c r="B35" s="135"/>
      <c r="C35" s="149" t="s">
        <v>858</v>
      </c>
      <c r="D35" s="141" t="s">
        <v>34</v>
      </c>
      <c r="E35" s="142">
        <v>34680</v>
      </c>
      <c r="F35" s="141" t="s">
        <v>856</v>
      </c>
      <c r="G35" s="142">
        <v>44841</v>
      </c>
      <c r="H35" s="142"/>
      <c r="I35" s="142">
        <v>44902</v>
      </c>
      <c r="J35" s="150"/>
      <c r="K35" s="143">
        <v>11500000</v>
      </c>
      <c r="L35" s="143"/>
      <c r="M35" s="141" t="s">
        <v>859</v>
      </c>
    </row>
    <row r="36" spans="1:13" x14ac:dyDescent="0.3">
      <c r="A36" s="135">
        <f>IF(C36="","",SUBTOTAL(3,$C$4:C36))</f>
        <v>33</v>
      </c>
      <c r="B36" s="135" t="s">
        <v>806</v>
      </c>
      <c r="C36" s="149" t="s">
        <v>860</v>
      </c>
      <c r="D36" s="141" t="s">
        <v>34</v>
      </c>
      <c r="E36" s="142">
        <v>32145</v>
      </c>
      <c r="F36" s="141" t="s">
        <v>840</v>
      </c>
      <c r="G36" s="142">
        <v>44861</v>
      </c>
      <c r="H36" s="142"/>
      <c r="I36" s="142">
        <v>44861</v>
      </c>
      <c r="J36" s="150"/>
      <c r="K36" s="143"/>
      <c r="L36" s="143">
        <v>20000000</v>
      </c>
      <c r="M36" s="141" t="s">
        <v>861</v>
      </c>
    </row>
    <row r="37" spans="1:13" x14ac:dyDescent="0.3">
      <c r="A37" s="135">
        <f>IF(C37="","",SUBTOTAL(3,$C$4:C37))</f>
        <v>34</v>
      </c>
      <c r="B37" s="135" t="s">
        <v>806</v>
      </c>
      <c r="C37" s="149" t="s">
        <v>862</v>
      </c>
      <c r="D37" s="141" t="s">
        <v>34</v>
      </c>
      <c r="E37" s="142">
        <v>28864</v>
      </c>
      <c r="F37" s="141" t="s">
        <v>104</v>
      </c>
      <c r="G37" s="142">
        <v>44886</v>
      </c>
      <c r="H37" s="142"/>
      <c r="I37" s="142">
        <v>44916</v>
      </c>
      <c r="J37" s="150"/>
      <c r="K37" s="143">
        <v>8000000</v>
      </c>
      <c r="L37" s="143">
        <v>9500000</v>
      </c>
      <c r="M37" s="149"/>
    </row>
    <row r="38" spans="1:13" x14ac:dyDescent="0.3">
      <c r="A38" s="135">
        <f>IF(C38="","",SUBTOTAL(3,$C$4:C38))</f>
        <v>35</v>
      </c>
      <c r="B38" s="135" t="s">
        <v>806</v>
      </c>
      <c r="C38" s="149" t="s">
        <v>863</v>
      </c>
      <c r="D38" s="141" t="s">
        <v>78</v>
      </c>
      <c r="E38" s="142">
        <v>32184</v>
      </c>
      <c r="F38" s="141" t="s">
        <v>864</v>
      </c>
      <c r="G38" s="142">
        <v>44956</v>
      </c>
      <c r="H38" s="142"/>
      <c r="I38" s="142">
        <v>45015</v>
      </c>
      <c r="J38" s="150"/>
      <c r="K38" s="143">
        <v>16000000</v>
      </c>
      <c r="L38" s="143">
        <v>20000000</v>
      </c>
      <c r="M38" s="141" t="s">
        <v>865</v>
      </c>
    </row>
    <row r="39" spans="1:13" x14ac:dyDescent="0.3">
      <c r="A39" s="135">
        <f>IF(C39="","",SUBTOTAL(3,$C$4:C39))</f>
        <v>36</v>
      </c>
      <c r="B39" s="135" t="s">
        <v>806</v>
      </c>
      <c r="C39" s="149" t="s">
        <v>552</v>
      </c>
      <c r="D39" s="141" t="s">
        <v>34</v>
      </c>
      <c r="E39" s="142">
        <v>31980</v>
      </c>
      <c r="F39" s="141" t="s">
        <v>224</v>
      </c>
      <c r="G39" s="142">
        <v>44998</v>
      </c>
      <c r="H39" s="142"/>
      <c r="I39" s="142">
        <v>45059</v>
      </c>
      <c r="J39" s="150"/>
      <c r="K39" s="143">
        <v>18000000</v>
      </c>
      <c r="L39" s="143"/>
      <c r="M39" s="149"/>
    </row>
    <row r="40" spans="1:13" x14ac:dyDescent="0.3">
      <c r="A40" s="135">
        <f>IF(C40="","",SUBTOTAL(3,$C$4:C40))</f>
        <v>37</v>
      </c>
      <c r="B40" s="135"/>
      <c r="C40" s="149" t="s">
        <v>866</v>
      </c>
      <c r="D40" s="141" t="s">
        <v>34</v>
      </c>
      <c r="E40" s="142">
        <v>31439</v>
      </c>
      <c r="F40" s="141" t="s">
        <v>867</v>
      </c>
      <c r="G40" s="142">
        <v>45019</v>
      </c>
      <c r="H40" s="142"/>
      <c r="I40" s="142">
        <v>45080</v>
      </c>
      <c r="J40" s="150"/>
      <c r="K40" s="143">
        <v>16000000</v>
      </c>
      <c r="L40" s="143"/>
      <c r="M40" s="141" t="s">
        <v>868</v>
      </c>
    </row>
    <row r="41" spans="1:13" x14ac:dyDescent="0.3">
      <c r="A41" s="135">
        <f>IF(C41="","",SUBTOTAL(3,$C$4:C41))</f>
        <v>38</v>
      </c>
      <c r="B41" s="135" t="s">
        <v>869</v>
      </c>
      <c r="C41" s="149" t="s">
        <v>810</v>
      </c>
      <c r="D41" s="141" t="s">
        <v>34</v>
      </c>
      <c r="E41" s="142">
        <v>30421</v>
      </c>
      <c r="F41" s="141" t="s">
        <v>127</v>
      </c>
      <c r="G41" s="142">
        <v>45040</v>
      </c>
      <c r="H41" s="142"/>
      <c r="I41" s="142">
        <v>45101</v>
      </c>
      <c r="J41" s="150"/>
      <c r="K41" s="143">
        <v>10000000</v>
      </c>
      <c r="L41" s="143">
        <v>10000000</v>
      </c>
      <c r="M41" s="149"/>
    </row>
    <row r="42" spans="1:13" x14ac:dyDescent="0.3">
      <c r="A42" s="135">
        <f>IF(C42="","",SUBTOTAL(3,$C$4:C42))</f>
        <v>39</v>
      </c>
      <c r="B42" s="135" t="s">
        <v>869</v>
      </c>
      <c r="C42" s="149" t="s">
        <v>870</v>
      </c>
      <c r="D42" s="141" t="s">
        <v>78</v>
      </c>
      <c r="E42" s="142">
        <v>29587</v>
      </c>
      <c r="F42" s="141" t="s">
        <v>871</v>
      </c>
      <c r="G42" s="142">
        <v>45040</v>
      </c>
      <c r="H42" s="142"/>
      <c r="I42" s="142">
        <v>45101</v>
      </c>
      <c r="J42" s="150"/>
      <c r="K42" s="143">
        <v>10000000</v>
      </c>
      <c r="L42" s="143">
        <v>10000000</v>
      </c>
      <c r="M42" s="149"/>
    </row>
    <row r="43" spans="1:13" x14ac:dyDescent="0.3">
      <c r="A43" s="135">
        <f>IF(C43="","",SUBTOTAL(3,$C$4:C43))</f>
        <v>40</v>
      </c>
      <c r="B43" s="135" t="s">
        <v>806</v>
      </c>
      <c r="C43" s="149" t="s">
        <v>872</v>
      </c>
      <c r="D43" s="141" t="s">
        <v>34</v>
      </c>
      <c r="E43" s="142">
        <v>37079</v>
      </c>
      <c r="F43" s="141" t="s">
        <v>224</v>
      </c>
      <c r="G43" s="142">
        <v>45041</v>
      </c>
      <c r="H43" s="142"/>
      <c r="I43" s="142">
        <v>45102</v>
      </c>
      <c r="J43" s="150"/>
      <c r="K43" s="143">
        <v>8000000</v>
      </c>
      <c r="L43" s="143">
        <v>10000000</v>
      </c>
      <c r="M43" s="141" t="s">
        <v>873</v>
      </c>
    </row>
    <row r="44" spans="1:13" x14ac:dyDescent="0.3">
      <c r="A44" s="135">
        <f>IF(C44="","",SUBTOTAL(3,$C$4:C44))</f>
        <v>41</v>
      </c>
      <c r="B44" s="135" t="s">
        <v>806</v>
      </c>
      <c r="C44" s="149" t="s">
        <v>564</v>
      </c>
      <c r="D44" s="141" t="s">
        <v>34</v>
      </c>
      <c r="E44" s="142">
        <v>26172</v>
      </c>
      <c r="F44" s="141" t="s">
        <v>224</v>
      </c>
      <c r="G44" s="142">
        <v>45049</v>
      </c>
      <c r="H44" s="142"/>
      <c r="I44" s="142">
        <v>45110</v>
      </c>
      <c r="J44" s="150"/>
      <c r="K44" s="143">
        <v>14000000</v>
      </c>
      <c r="L44" s="143">
        <v>15000000</v>
      </c>
      <c r="M44" s="149"/>
    </row>
    <row r="45" spans="1:13" x14ac:dyDescent="0.3">
      <c r="A45" s="135">
        <f>IF(C45="","",SUBTOTAL(3,$C$4:C45))</f>
        <v>42</v>
      </c>
      <c r="B45" s="135"/>
      <c r="C45" s="149" t="s">
        <v>874</v>
      </c>
      <c r="D45" s="141" t="s">
        <v>34</v>
      </c>
      <c r="E45" s="142">
        <v>31048</v>
      </c>
      <c r="F45" s="149" t="s">
        <v>224</v>
      </c>
      <c r="G45" s="142">
        <v>45063</v>
      </c>
      <c r="H45" s="142"/>
      <c r="I45" s="142">
        <v>45124</v>
      </c>
      <c r="J45" s="150"/>
      <c r="K45" s="143">
        <v>12000000</v>
      </c>
      <c r="L45" s="143"/>
      <c r="M45" s="141" t="s">
        <v>875</v>
      </c>
    </row>
    <row r="46" spans="1:13" x14ac:dyDescent="0.3">
      <c r="A46" s="135">
        <f>IF(C46="","",SUBTOTAL(3,$C$4:C46))</f>
        <v>43</v>
      </c>
      <c r="B46" s="135" t="s">
        <v>806</v>
      </c>
      <c r="C46" s="149" t="s">
        <v>572</v>
      </c>
      <c r="D46" s="141" t="s">
        <v>34</v>
      </c>
      <c r="E46" s="142">
        <v>34579</v>
      </c>
      <c r="F46" s="141" t="s">
        <v>224</v>
      </c>
      <c r="G46" s="142">
        <v>45063</v>
      </c>
      <c r="H46" s="142"/>
      <c r="I46" s="142">
        <v>45124</v>
      </c>
      <c r="J46" s="150"/>
      <c r="K46" s="143">
        <v>12000000</v>
      </c>
      <c r="L46" s="143">
        <v>16000000</v>
      </c>
      <c r="M46" s="149" t="s">
        <v>876</v>
      </c>
    </row>
    <row r="47" spans="1:13" ht="16.5" customHeight="1" x14ac:dyDescent="0.3">
      <c r="A47" s="135">
        <f>IF(C47="","",SUBTOTAL(3,$C$4:C47))</f>
        <v>44</v>
      </c>
      <c r="B47" s="152" t="s">
        <v>806</v>
      </c>
      <c r="C47" s="149" t="s">
        <v>580</v>
      </c>
      <c r="D47" s="141" t="s">
        <v>34</v>
      </c>
      <c r="E47" s="142">
        <v>29085</v>
      </c>
      <c r="F47" s="141" t="s">
        <v>878</v>
      </c>
      <c r="G47" s="142">
        <v>45068</v>
      </c>
      <c r="H47" s="142"/>
      <c r="I47" s="142">
        <v>45129</v>
      </c>
      <c r="J47" s="150"/>
      <c r="K47" s="143">
        <v>10000000</v>
      </c>
      <c r="L47" s="143">
        <v>12000000</v>
      </c>
      <c r="M47" s="149" t="s">
        <v>879</v>
      </c>
    </row>
    <row r="48" spans="1:13" x14ac:dyDescent="0.3">
      <c r="A48" s="135">
        <f>IF(C48="","",SUBTOTAL(3,$C$4:C48))</f>
        <v>45</v>
      </c>
      <c r="B48" s="135"/>
      <c r="C48" s="149" t="s">
        <v>880</v>
      </c>
      <c r="D48" s="141" t="s">
        <v>34</v>
      </c>
      <c r="E48" s="142">
        <v>30682</v>
      </c>
      <c r="F48" s="149" t="s">
        <v>867</v>
      </c>
      <c r="G48" s="142">
        <v>45086</v>
      </c>
      <c r="H48" s="142"/>
      <c r="I48" s="142">
        <v>45147</v>
      </c>
      <c r="J48" s="150"/>
      <c r="K48" s="143">
        <v>17000000</v>
      </c>
      <c r="L48" s="143"/>
      <c r="M48" s="141" t="s">
        <v>859</v>
      </c>
    </row>
    <row r="49" spans="1:13" x14ac:dyDescent="0.3">
      <c r="A49" s="135">
        <f>IF(C49="","",SUBTOTAL(3,$C$4:C49))</f>
        <v>46</v>
      </c>
      <c r="B49" s="135"/>
      <c r="C49" s="149" t="s">
        <v>881</v>
      </c>
      <c r="D49" s="141" t="s">
        <v>34</v>
      </c>
      <c r="E49" s="142">
        <v>31048</v>
      </c>
      <c r="F49" s="149" t="s">
        <v>882</v>
      </c>
      <c r="G49" s="142">
        <v>45085</v>
      </c>
      <c r="H49" s="142">
        <v>45115</v>
      </c>
      <c r="I49" s="142">
        <v>45146</v>
      </c>
      <c r="J49" s="150"/>
      <c r="K49" s="143">
        <v>25500000</v>
      </c>
      <c r="L49" s="143">
        <v>30000000</v>
      </c>
      <c r="M49" s="141" t="s">
        <v>883</v>
      </c>
    </row>
    <row r="50" spans="1:13" x14ac:dyDescent="0.3">
      <c r="A50" s="135">
        <f>IF(C50="","",SUBTOTAL(3,$C$4:C50))</f>
        <v>47</v>
      </c>
      <c r="B50" s="135" t="s">
        <v>806</v>
      </c>
      <c r="C50" s="151" t="s">
        <v>884</v>
      </c>
      <c r="D50" s="153" t="s">
        <v>34</v>
      </c>
      <c r="E50" s="154">
        <v>30320</v>
      </c>
      <c r="F50" s="153" t="s">
        <v>867</v>
      </c>
      <c r="G50" s="154">
        <v>45089</v>
      </c>
      <c r="H50" s="154"/>
      <c r="I50" s="154">
        <v>45150</v>
      </c>
      <c r="J50" s="155"/>
      <c r="K50" s="156">
        <v>14500000</v>
      </c>
      <c r="L50" s="156">
        <v>18000000</v>
      </c>
      <c r="M50" s="149"/>
    </row>
    <row r="51" spans="1:13" x14ac:dyDescent="0.3">
      <c r="A51" s="135">
        <f>IF(C51="","",SUBTOTAL(3,$C$4:C51))</f>
        <v>48</v>
      </c>
      <c r="B51" s="135" t="s">
        <v>806</v>
      </c>
      <c r="C51" s="151" t="s">
        <v>587</v>
      </c>
      <c r="D51" s="153" t="s">
        <v>34</v>
      </c>
      <c r="E51" s="154">
        <v>35440</v>
      </c>
      <c r="F51" s="153" t="s">
        <v>885</v>
      </c>
      <c r="G51" s="154">
        <v>45100</v>
      </c>
      <c r="H51" s="154"/>
      <c r="I51" s="154">
        <v>45161</v>
      </c>
      <c r="J51" s="155"/>
      <c r="K51" s="156">
        <v>12000000</v>
      </c>
      <c r="L51" s="156">
        <v>15500000</v>
      </c>
      <c r="M51" s="149"/>
    </row>
    <row r="52" spans="1:13" x14ac:dyDescent="0.3">
      <c r="A52" s="135">
        <f>IF(C52="","",SUBTOTAL(3,$C$4:C52))</f>
        <v>49</v>
      </c>
      <c r="B52" s="135" t="s">
        <v>806</v>
      </c>
      <c r="C52" s="149" t="s">
        <v>369</v>
      </c>
      <c r="D52" s="141" t="s">
        <v>34</v>
      </c>
      <c r="E52" s="142">
        <v>32375</v>
      </c>
      <c r="F52" s="141" t="s">
        <v>224</v>
      </c>
      <c r="G52" s="142">
        <v>45100</v>
      </c>
      <c r="H52" s="142"/>
      <c r="I52" s="142">
        <v>45100</v>
      </c>
      <c r="J52" s="150"/>
      <c r="K52" s="143">
        <v>20000000</v>
      </c>
      <c r="L52" s="143">
        <v>20000000</v>
      </c>
      <c r="M52" s="149"/>
    </row>
    <row r="53" spans="1:13" x14ac:dyDescent="0.3">
      <c r="A53" s="135">
        <f>IF(C53="","",SUBTOTAL(3,$C$4:C53))</f>
        <v>50</v>
      </c>
      <c r="B53" s="135" t="s">
        <v>806</v>
      </c>
      <c r="C53" s="151" t="s">
        <v>886</v>
      </c>
      <c r="D53" s="153" t="s">
        <v>78</v>
      </c>
      <c r="E53" s="154">
        <v>29521</v>
      </c>
      <c r="F53" s="153" t="s">
        <v>739</v>
      </c>
      <c r="G53" s="154">
        <v>45103</v>
      </c>
      <c r="H53" s="154"/>
      <c r="I53" s="154">
        <v>45164</v>
      </c>
      <c r="J53" s="155"/>
      <c r="K53" s="156">
        <v>14400000</v>
      </c>
      <c r="L53" s="156">
        <v>18000000</v>
      </c>
      <c r="M53" s="149"/>
    </row>
    <row r="54" spans="1:13" x14ac:dyDescent="0.3">
      <c r="A54" s="135">
        <f>IF(C54="","",SUBTOTAL(3,$C$4:C54))</f>
        <v>51</v>
      </c>
      <c r="B54" s="135" t="s">
        <v>806</v>
      </c>
      <c r="C54" s="151" t="s">
        <v>612</v>
      </c>
      <c r="D54" s="153" t="s">
        <v>34</v>
      </c>
      <c r="E54" s="154">
        <v>34293</v>
      </c>
      <c r="F54" s="153" t="s">
        <v>224</v>
      </c>
      <c r="G54" s="154">
        <v>45104</v>
      </c>
      <c r="H54" s="154"/>
      <c r="I54" s="154">
        <v>45165</v>
      </c>
      <c r="J54" s="155"/>
      <c r="K54" s="156">
        <v>14000000</v>
      </c>
      <c r="L54" s="156">
        <v>18000000</v>
      </c>
      <c r="M54" s="149"/>
    </row>
    <row r="55" spans="1:13" x14ac:dyDescent="0.3">
      <c r="A55" s="135">
        <f>IF(C55="","",SUBTOTAL(3,$C$4:C55))</f>
        <v>52</v>
      </c>
      <c r="B55" s="135"/>
      <c r="C55" s="149" t="s">
        <v>887</v>
      </c>
      <c r="D55" s="141" t="s">
        <v>34</v>
      </c>
      <c r="E55" s="142"/>
      <c r="F55" s="149" t="s">
        <v>224</v>
      </c>
      <c r="G55" s="142">
        <v>45138</v>
      </c>
      <c r="H55" s="142">
        <v>45203</v>
      </c>
      <c r="I55" s="142">
        <v>45234</v>
      </c>
      <c r="J55" s="150"/>
      <c r="K55" s="143">
        <v>12000000</v>
      </c>
      <c r="L55" s="143"/>
      <c r="M55" s="141" t="s">
        <v>888</v>
      </c>
    </row>
    <row r="56" spans="1:13" x14ac:dyDescent="0.3">
      <c r="A56" s="135">
        <f>IF(C56="","",SUBTOTAL(3,$C$4:C56))</f>
        <v>53</v>
      </c>
      <c r="B56" s="135" t="s">
        <v>806</v>
      </c>
      <c r="C56" s="149" t="s">
        <v>889</v>
      </c>
      <c r="D56" s="141" t="s">
        <v>34</v>
      </c>
      <c r="E56" s="142">
        <v>30319</v>
      </c>
      <c r="F56" s="149" t="s">
        <v>890</v>
      </c>
      <c r="G56" s="142">
        <v>45148</v>
      </c>
      <c r="H56" s="142"/>
      <c r="I56" s="142">
        <v>45209</v>
      </c>
      <c r="J56" s="150"/>
      <c r="K56" s="143">
        <v>15000000</v>
      </c>
      <c r="L56" s="143">
        <v>16000000</v>
      </c>
      <c r="M56" s="141" t="s">
        <v>883</v>
      </c>
    </row>
    <row r="57" spans="1:13" ht="15.75" customHeight="1" x14ac:dyDescent="0.3">
      <c r="A57" s="135">
        <f>IF(C57="","",SUBTOTAL(3,$C$4:C57))</f>
        <v>54</v>
      </c>
      <c r="B57" s="152" t="s">
        <v>806</v>
      </c>
      <c r="C57" s="151" t="s">
        <v>625</v>
      </c>
      <c r="D57" s="153" t="s">
        <v>34</v>
      </c>
      <c r="E57" s="154">
        <v>30369</v>
      </c>
      <c r="F57" s="153" t="s">
        <v>891</v>
      </c>
      <c r="G57" s="154">
        <v>45152</v>
      </c>
      <c r="H57" s="154"/>
      <c r="I57" s="154">
        <v>45213</v>
      </c>
      <c r="J57" s="155"/>
      <c r="K57" s="156">
        <v>28000000</v>
      </c>
      <c r="L57" s="156">
        <v>35000000</v>
      </c>
      <c r="M57" s="149"/>
    </row>
    <row r="58" spans="1:13" x14ac:dyDescent="0.3">
      <c r="A58" s="135">
        <f>IF(C58="","",SUBTOTAL(3,$C$4:C58))</f>
        <v>55</v>
      </c>
      <c r="B58" s="135" t="s">
        <v>806</v>
      </c>
      <c r="C58" s="151" t="s">
        <v>892</v>
      </c>
      <c r="D58" s="153" t="s">
        <v>34</v>
      </c>
      <c r="E58" s="154">
        <v>34433</v>
      </c>
      <c r="F58" s="153" t="s">
        <v>890</v>
      </c>
      <c r="G58" s="154">
        <v>45153</v>
      </c>
      <c r="H58" s="154"/>
      <c r="I58" s="154">
        <v>45214</v>
      </c>
      <c r="J58" s="155"/>
      <c r="K58" s="156">
        <v>11000000</v>
      </c>
      <c r="L58" s="156">
        <v>13000000</v>
      </c>
      <c r="M58" s="149"/>
    </row>
    <row r="59" spans="1:13" x14ac:dyDescent="0.3">
      <c r="A59" s="135">
        <f>IF(C59="","",SUBTOTAL(3,$C$4:C59))</f>
        <v>56</v>
      </c>
      <c r="B59" s="135" t="s">
        <v>806</v>
      </c>
      <c r="C59" s="151" t="s">
        <v>631</v>
      </c>
      <c r="D59" s="153" t="s">
        <v>34</v>
      </c>
      <c r="E59" s="154">
        <v>33082</v>
      </c>
      <c r="F59" s="153" t="s">
        <v>893</v>
      </c>
      <c r="G59" s="154">
        <v>45153</v>
      </c>
      <c r="H59" s="154"/>
      <c r="I59" s="154">
        <v>45214</v>
      </c>
      <c r="J59" s="155"/>
      <c r="K59" s="156">
        <v>16000000</v>
      </c>
      <c r="L59" s="156">
        <v>19000000</v>
      </c>
      <c r="M59" s="149"/>
    </row>
    <row r="60" spans="1:13" x14ac:dyDescent="0.3">
      <c r="A60" s="135">
        <f>IF(C60="","",SUBTOTAL(3,$C$4:C60))</f>
        <v>57</v>
      </c>
      <c r="B60" s="135" t="s">
        <v>806</v>
      </c>
      <c r="C60" s="151" t="s">
        <v>642</v>
      </c>
      <c r="D60" s="153" t="s">
        <v>34</v>
      </c>
      <c r="E60" s="154">
        <v>24838</v>
      </c>
      <c r="F60" s="153" t="s">
        <v>127</v>
      </c>
      <c r="G60" s="154">
        <v>45153</v>
      </c>
      <c r="H60" s="154"/>
      <c r="I60" s="154">
        <v>45214</v>
      </c>
      <c r="J60" s="155"/>
      <c r="K60" s="156">
        <v>7500000</v>
      </c>
      <c r="L60" s="156">
        <v>7500000</v>
      </c>
      <c r="M60" s="149"/>
    </row>
    <row r="61" spans="1:13" x14ac:dyDescent="0.3">
      <c r="A61" s="135">
        <f>IF(C61="","",SUBTOTAL(3,$C$4:C61))</f>
        <v>58</v>
      </c>
      <c r="B61" s="135" t="s">
        <v>806</v>
      </c>
      <c r="C61" s="149" t="s">
        <v>894</v>
      </c>
      <c r="D61" s="141" t="s">
        <v>34</v>
      </c>
      <c r="E61" s="142">
        <v>32665</v>
      </c>
      <c r="F61" s="141" t="s">
        <v>224</v>
      </c>
      <c r="G61" s="142">
        <v>45170</v>
      </c>
      <c r="H61" s="142"/>
      <c r="I61" s="142">
        <v>45170</v>
      </c>
      <c r="J61" s="150"/>
      <c r="K61" s="143">
        <v>17000000</v>
      </c>
      <c r="L61" s="143">
        <v>17000000</v>
      </c>
      <c r="M61" s="149"/>
    </row>
    <row r="62" spans="1:13" x14ac:dyDescent="0.3">
      <c r="A62" s="135">
        <f>IF(C62="","",SUBTOTAL(3,$C$4:C62))</f>
        <v>59</v>
      </c>
      <c r="B62" s="135"/>
      <c r="C62" s="149" t="s">
        <v>895</v>
      </c>
      <c r="D62" s="141" t="s">
        <v>34</v>
      </c>
      <c r="E62" s="142">
        <v>33301</v>
      </c>
      <c r="F62" s="149" t="s">
        <v>224</v>
      </c>
      <c r="G62" s="142">
        <v>45173</v>
      </c>
      <c r="H62" s="142"/>
      <c r="I62" s="142">
        <v>45234</v>
      </c>
      <c r="J62" s="150"/>
      <c r="K62" s="143">
        <v>15000000</v>
      </c>
      <c r="L62" s="143"/>
      <c r="M62" s="141" t="s">
        <v>896</v>
      </c>
    </row>
    <row r="63" spans="1:13" x14ac:dyDescent="0.3">
      <c r="A63" s="135">
        <f>IF(C63="","",SUBTOTAL(3,$C$4:C63))</f>
        <v>60</v>
      </c>
      <c r="B63" s="135"/>
      <c r="C63" s="149" t="s">
        <v>897</v>
      </c>
      <c r="D63" s="141" t="s">
        <v>34</v>
      </c>
      <c r="E63" s="142">
        <v>33197</v>
      </c>
      <c r="F63" s="149" t="s">
        <v>867</v>
      </c>
      <c r="G63" s="142">
        <v>45180</v>
      </c>
      <c r="H63" s="142"/>
      <c r="I63" s="142">
        <v>45241</v>
      </c>
      <c r="J63" s="150"/>
      <c r="K63" s="143">
        <v>14000000</v>
      </c>
      <c r="L63" s="143"/>
      <c r="M63" s="141" t="s">
        <v>898</v>
      </c>
    </row>
    <row r="64" spans="1:13" ht="15.75" customHeight="1" x14ac:dyDescent="0.3">
      <c r="A64" s="135">
        <f>IF(C64="","",SUBTOTAL(3,$C$4:C64))</f>
        <v>61</v>
      </c>
      <c r="B64" s="157" t="s">
        <v>806</v>
      </c>
      <c r="C64" s="149" t="s">
        <v>649</v>
      </c>
      <c r="D64" s="141" t="s">
        <v>34</v>
      </c>
      <c r="E64" s="142">
        <v>31027</v>
      </c>
      <c r="F64" s="141" t="s">
        <v>890</v>
      </c>
      <c r="G64" s="142">
        <v>45200</v>
      </c>
      <c r="H64" s="142"/>
      <c r="I64" s="142">
        <v>45231</v>
      </c>
      <c r="J64" s="150"/>
      <c r="K64" s="143">
        <v>13000000</v>
      </c>
      <c r="L64" s="143">
        <v>16000000</v>
      </c>
      <c r="M64" s="149"/>
    </row>
    <row r="65" spans="1:13" ht="15.75" customHeight="1" x14ac:dyDescent="0.3">
      <c r="A65" s="135">
        <f>IF(C65="","",SUBTOTAL(3,$C$4:C65))</f>
        <v>62</v>
      </c>
      <c r="B65" s="152" t="s">
        <v>806</v>
      </c>
      <c r="C65" s="149" t="s">
        <v>654</v>
      </c>
      <c r="D65" s="141" t="s">
        <v>34</v>
      </c>
      <c r="E65" s="142">
        <v>32567</v>
      </c>
      <c r="F65" s="141" t="s">
        <v>899</v>
      </c>
      <c r="G65" s="142">
        <v>45208</v>
      </c>
      <c r="H65" s="142"/>
      <c r="I65" s="142">
        <v>45269</v>
      </c>
      <c r="J65" s="150"/>
      <c r="K65" s="143">
        <v>18000000</v>
      </c>
      <c r="L65" s="143">
        <v>18000000</v>
      </c>
      <c r="M65" s="149"/>
    </row>
    <row r="66" spans="1:13" x14ac:dyDescent="0.3">
      <c r="A66" s="135">
        <f>IF(C66="","",SUBTOTAL(3,$C$4:C67))</f>
        <v>64</v>
      </c>
      <c r="B66" s="135"/>
      <c r="C66" s="149" t="s">
        <v>900</v>
      </c>
      <c r="D66" s="141" t="s">
        <v>34</v>
      </c>
      <c r="E66" s="142">
        <v>22556</v>
      </c>
      <c r="F66" s="149" t="s">
        <v>127</v>
      </c>
      <c r="G66" s="142">
        <v>45211</v>
      </c>
      <c r="H66" s="142"/>
      <c r="I66" s="142">
        <v>45272</v>
      </c>
      <c r="J66" s="150"/>
      <c r="K66" s="143">
        <v>7500000</v>
      </c>
      <c r="L66" s="143">
        <v>7500000</v>
      </c>
      <c r="M66" s="141" t="s">
        <v>901</v>
      </c>
    </row>
    <row r="67" spans="1:13" x14ac:dyDescent="0.3">
      <c r="A67" s="135">
        <f>IF(C67="","",SUBTOTAL(3,$C$4:C67))</f>
        <v>64</v>
      </c>
      <c r="B67" s="135"/>
      <c r="C67" s="149" t="s">
        <v>902</v>
      </c>
      <c r="D67" s="141" t="s">
        <v>78</v>
      </c>
      <c r="E67" s="142">
        <v>31350</v>
      </c>
      <c r="F67" s="149" t="s">
        <v>864</v>
      </c>
      <c r="G67" s="142">
        <v>45231</v>
      </c>
      <c r="H67" s="142"/>
      <c r="I67" s="142">
        <v>45292</v>
      </c>
      <c r="J67" s="150"/>
      <c r="K67" s="143">
        <f>85%*L67</f>
        <v>25500000</v>
      </c>
      <c r="L67" s="143">
        <v>30000000</v>
      </c>
      <c r="M67" s="141" t="s">
        <v>903</v>
      </c>
    </row>
    <row r="68" spans="1:13" ht="15.75" customHeight="1" x14ac:dyDescent="0.3">
      <c r="A68" s="135">
        <f>IF(C68="","",SUBTOTAL(3,$C$4:C68))</f>
        <v>65</v>
      </c>
      <c r="B68" s="152" t="s">
        <v>806</v>
      </c>
      <c r="C68" s="149" t="s">
        <v>824</v>
      </c>
      <c r="D68" s="141" t="s">
        <v>34</v>
      </c>
      <c r="E68" s="142"/>
      <c r="F68" s="141" t="s">
        <v>224</v>
      </c>
      <c r="G68" s="142">
        <v>45231</v>
      </c>
      <c r="H68" s="142"/>
      <c r="I68" s="142">
        <v>45231</v>
      </c>
      <c r="J68" s="150"/>
      <c r="K68" s="143">
        <v>22000000</v>
      </c>
      <c r="L68" s="143">
        <v>22000000</v>
      </c>
      <c r="M68" s="149" t="s">
        <v>904</v>
      </c>
    </row>
    <row r="69" spans="1:13" ht="15.75" customHeight="1" x14ac:dyDescent="0.3">
      <c r="A69" s="135">
        <f>IF(C69="","",SUBTOTAL(3,$C$4:C69))</f>
        <v>66</v>
      </c>
      <c r="B69" s="158" t="s">
        <v>905</v>
      </c>
      <c r="C69" s="149" t="s">
        <v>906</v>
      </c>
      <c r="D69" s="141" t="s">
        <v>34</v>
      </c>
      <c r="E69" s="142">
        <v>33239</v>
      </c>
      <c r="F69" s="141" t="s">
        <v>867</v>
      </c>
      <c r="G69" s="142">
        <v>45239</v>
      </c>
      <c r="H69" s="142"/>
      <c r="I69" s="142">
        <v>45269</v>
      </c>
      <c r="J69" s="150"/>
      <c r="K69" s="143">
        <v>15500000</v>
      </c>
      <c r="L69" s="143">
        <v>17000000</v>
      </c>
      <c r="M69" s="151"/>
    </row>
    <row r="70" spans="1:13" x14ac:dyDescent="0.3">
      <c r="A70" s="135">
        <f>IF(C70="","",SUBTOTAL(3,$C$4:C70))</f>
        <v>67</v>
      </c>
      <c r="B70" s="135"/>
      <c r="C70" s="149" t="s">
        <v>907</v>
      </c>
      <c r="D70" s="141" t="s">
        <v>34</v>
      </c>
      <c r="E70" s="142">
        <v>33558</v>
      </c>
      <c r="F70" s="149" t="s">
        <v>224</v>
      </c>
      <c r="G70" s="142">
        <v>45239</v>
      </c>
      <c r="H70" s="142"/>
      <c r="I70" s="142">
        <v>45300</v>
      </c>
      <c r="J70" s="150"/>
      <c r="K70" s="143">
        <v>18000000</v>
      </c>
      <c r="L70" s="143"/>
      <c r="M70" s="141" t="s">
        <v>908</v>
      </c>
    </row>
    <row r="71" spans="1:13" x14ac:dyDescent="0.3">
      <c r="A71" s="135">
        <f>IF(C71="","",SUBTOTAL(3,$C$4:C71))</f>
        <v>68</v>
      </c>
      <c r="B71" s="135"/>
      <c r="C71" s="149" t="s">
        <v>909</v>
      </c>
      <c r="D71" s="141" t="s">
        <v>34</v>
      </c>
      <c r="E71" s="142">
        <v>30294</v>
      </c>
      <c r="F71" s="149" t="s">
        <v>224</v>
      </c>
      <c r="G71" s="142">
        <v>45245</v>
      </c>
      <c r="H71" s="142"/>
      <c r="I71" s="142">
        <v>45306</v>
      </c>
      <c r="J71" s="150"/>
      <c r="K71" s="143">
        <v>18000000</v>
      </c>
      <c r="L71" s="143"/>
      <c r="M71" s="141" t="s">
        <v>910</v>
      </c>
    </row>
    <row r="72" spans="1:13" x14ac:dyDescent="0.3">
      <c r="A72" s="135">
        <f>IF(C72="","",SUBTOTAL(3,$C$4:C72))</f>
        <v>69</v>
      </c>
      <c r="B72" s="135"/>
      <c r="C72" s="149" t="s">
        <v>911</v>
      </c>
      <c r="D72" s="141" t="s">
        <v>34</v>
      </c>
      <c r="E72" s="142">
        <v>30784</v>
      </c>
      <c r="F72" s="141" t="s">
        <v>224</v>
      </c>
      <c r="G72" s="142">
        <v>45246</v>
      </c>
      <c r="H72" s="142"/>
      <c r="I72" s="142">
        <v>45276</v>
      </c>
      <c r="J72" s="150"/>
      <c r="K72" s="143">
        <v>15000000</v>
      </c>
      <c r="L72" s="143"/>
      <c r="M72" s="149" t="s">
        <v>912</v>
      </c>
    </row>
    <row r="73" spans="1:13" x14ac:dyDescent="0.3">
      <c r="A73" s="135">
        <f>IF(C73="","",SUBTOTAL(3,$C$4:C73))</f>
        <v>70</v>
      </c>
      <c r="B73" s="152" t="s">
        <v>806</v>
      </c>
      <c r="C73" s="149" t="s">
        <v>339</v>
      </c>
      <c r="D73" s="141" t="s">
        <v>34</v>
      </c>
      <c r="E73" s="142">
        <v>32907</v>
      </c>
      <c r="F73" s="141" t="s">
        <v>840</v>
      </c>
      <c r="G73" s="142">
        <v>45271</v>
      </c>
      <c r="H73" s="142"/>
      <c r="I73" s="142">
        <v>45323</v>
      </c>
      <c r="J73" s="150"/>
      <c r="K73" s="143">
        <v>15000000</v>
      </c>
      <c r="L73" s="143">
        <v>17000000</v>
      </c>
      <c r="M73" s="149"/>
    </row>
    <row r="74" spans="1:13" x14ac:dyDescent="0.3">
      <c r="A74" s="135">
        <f>IF(C74="","",SUBTOTAL(3,$C$4:C74))</f>
        <v>71</v>
      </c>
      <c r="B74" s="135" t="s">
        <v>806</v>
      </c>
      <c r="C74" s="149" t="s">
        <v>913</v>
      </c>
      <c r="D74" s="141" t="s">
        <v>34</v>
      </c>
      <c r="E74" s="142">
        <v>35701</v>
      </c>
      <c r="F74" s="141" t="s">
        <v>104</v>
      </c>
      <c r="G74" s="142">
        <v>45383</v>
      </c>
      <c r="H74" s="142"/>
      <c r="I74" s="142">
        <v>45444</v>
      </c>
      <c r="J74" s="150"/>
      <c r="K74" s="143">
        <f>L74*0.8</f>
        <v>8800000</v>
      </c>
      <c r="L74" s="143">
        <v>11000000</v>
      </c>
      <c r="M74" s="149" t="s">
        <v>914</v>
      </c>
    </row>
    <row r="75" spans="1:13" x14ac:dyDescent="0.3">
      <c r="A75" s="135">
        <f>IF(C75="","",SUBTOTAL(3,$C$4:C75))</f>
        <v>72</v>
      </c>
      <c r="B75" s="135" t="s">
        <v>806</v>
      </c>
      <c r="C75" s="149" t="s">
        <v>659</v>
      </c>
      <c r="D75" s="141" t="s">
        <v>34</v>
      </c>
      <c r="E75" s="142">
        <v>34296</v>
      </c>
      <c r="F75" s="141" t="s">
        <v>667</v>
      </c>
      <c r="G75" s="142">
        <v>45390</v>
      </c>
      <c r="H75" s="142"/>
      <c r="I75" s="142">
        <v>45420</v>
      </c>
      <c r="J75" s="150"/>
      <c r="K75" s="143">
        <f>L75*0.8</f>
        <v>16000000</v>
      </c>
      <c r="L75" s="143">
        <v>20000000</v>
      </c>
      <c r="M75" s="149" t="s">
        <v>915</v>
      </c>
    </row>
    <row r="76" spans="1:13" x14ac:dyDescent="0.3">
      <c r="A76" s="135">
        <f>IF(C76="","",SUBTOTAL(3,$C$4:C80))</f>
        <v>77</v>
      </c>
      <c r="B76" s="135" t="s">
        <v>806</v>
      </c>
      <c r="C76" s="149" t="s">
        <v>101</v>
      </c>
      <c r="D76" s="141" t="s">
        <v>78</v>
      </c>
      <c r="E76" s="142">
        <v>31999</v>
      </c>
      <c r="F76" s="141" t="s">
        <v>136</v>
      </c>
      <c r="G76" s="142">
        <v>45474</v>
      </c>
      <c r="H76" s="142"/>
      <c r="I76" s="142">
        <v>45536</v>
      </c>
      <c r="J76" s="150"/>
      <c r="K76" s="143">
        <v>8000000</v>
      </c>
      <c r="L76" s="143">
        <v>11000000</v>
      </c>
      <c r="M76" s="149"/>
    </row>
    <row r="77" spans="1:13" x14ac:dyDescent="0.3">
      <c r="A77" s="135">
        <f>IF(C77="","",SUBTOTAL(3,$C$4:C77))</f>
        <v>74</v>
      </c>
      <c r="B77" s="135"/>
      <c r="C77" s="149" t="s">
        <v>916</v>
      </c>
      <c r="D77" s="141" t="s">
        <v>34</v>
      </c>
      <c r="E77" s="142">
        <v>33276</v>
      </c>
      <c r="F77" s="141" t="s">
        <v>917</v>
      </c>
      <c r="G77" s="142">
        <v>45482</v>
      </c>
      <c r="H77" s="142"/>
      <c r="I77" s="142">
        <v>45544</v>
      </c>
      <c r="J77" s="150"/>
      <c r="K77" s="143">
        <f>L77*0.8</f>
        <v>20000000</v>
      </c>
      <c r="L77" s="143">
        <v>25000000</v>
      </c>
      <c r="M77" s="149" t="s">
        <v>918</v>
      </c>
    </row>
    <row r="78" spans="1:13" x14ac:dyDescent="0.3">
      <c r="A78" s="135">
        <f>IF(C78="","",SUBTOTAL(3,$C$4:C80))</f>
        <v>77</v>
      </c>
      <c r="B78" s="135" t="s">
        <v>919</v>
      </c>
      <c r="C78" s="149" t="s">
        <v>677</v>
      </c>
      <c r="D78" s="141" t="s">
        <v>34</v>
      </c>
      <c r="E78" s="142">
        <v>36827</v>
      </c>
      <c r="F78" s="141" t="s">
        <v>224</v>
      </c>
      <c r="G78" s="142">
        <v>45488</v>
      </c>
      <c r="H78" s="142"/>
      <c r="I78" s="142">
        <v>45550</v>
      </c>
      <c r="J78" s="150">
        <v>45914</v>
      </c>
      <c r="K78" s="143">
        <v>10000000</v>
      </c>
      <c r="L78" s="143">
        <v>10000000</v>
      </c>
      <c r="M78" s="149"/>
    </row>
    <row r="79" spans="1:13" x14ac:dyDescent="0.3">
      <c r="A79" s="135">
        <f>IF(C79="","",SUBTOTAL(3,$C$4:C81))</f>
        <v>78</v>
      </c>
      <c r="B79" s="135" t="s">
        <v>919</v>
      </c>
      <c r="C79" s="149" t="s">
        <v>686</v>
      </c>
      <c r="D79" s="141" t="s">
        <v>34</v>
      </c>
      <c r="E79" s="142">
        <v>35855</v>
      </c>
      <c r="F79" s="141" t="s">
        <v>920</v>
      </c>
      <c r="G79" s="142">
        <v>45505</v>
      </c>
      <c r="H79" s="142"/>
      <c r="I79" s="142">
        <v>45566</v>
      </c>
      <c r="J79" s="150">
        <v>45930</v>
      </c>
      <c r="K79" s="143">
        <v>13000000</v>
      </c>
      <c r="L79" s="143">
        <v>16000000</v>
      </c>
      <c r="M79" s="149"/>
    </row>
    <row r="80" spans="1:13" x14ac:dyDescent="0.3">
      <c r="A80" s="135">
        <f>IF(C80="","",SUBTOTAL(3,$C$4:C81))</f>
        <v>78</v>
      </c>
      <c r="B80" s="135" t="s">
        <v>806</v>
      </c>
      <c r="C80" s="149" t="s">
        <v>700</v>
      </c>
      <c r="D80" s="141" t="s">
        <v>34</v>
      </c>
      <c r="E80" s="142">
        <v>37554</v>
      </c>
      <c r="F80" s="141" t="s">
        <v>878</v>
      </c>
      <c r="G80" s="142">
        <v>45516</v>
      </c>
      <c r="H80" s="142"/>
      <c r="I80" s="142">
        <v>45577</v>
      </c>
      <c r="J80" s="150"/>
      <c r="K80" s="143">
        <v>7200000</v>
      </c>
      <c r="L80" s="143">
        <v>9000000</v>
      </c>
      <c r="M80" s="149"/>
    </row>
    <row r="81" spans="1:13" x14ac:dyDescent="0.3">
      <c r="A81" s="135">
        <f>IF(C81="","",SUBTOTAL(3,$C$4:C81))</f>
        <v>78</v>
      </c>
      <c r="B81" s="135"/>
      <c r="C81" s="149" t="s">
        <v>921</v>
      </c>
      <c r="D81" s="141" t="s">
        <v>34</v>
      </c>
      <c r="E81" s="142">
        <v>33853</v>
      </c>
      <c r="F81" s="141" t="s">
        <v>104</v>
      </c>
      <c r="G81" s="142">
        <v>45519</v>
      </c>
      <c r="H81" s="142"/>
      <c r="I81" s="142">
        <v>45580</v>
      </c>
      <c r="J81" s="150"/>
      <c r="K81" s="143">
        <v>8800000</v>
      </c>
      <c r="L81" s="143">
        <v>11000000</v>
      </c>
      <c r="M81" s="149" t="s">
        <v>922</v>
      </c>
    </row>
    <row r="82" spans="1:13" x14ac:dyDescent="0.3">
      <c r="A82" s="135">
        <f>IF(C82="","",SUBTOTAL(3,$C$4:C82))</f>
        <v>79</v>
      </c>
      <c r="B82" s="135"/>
      <c r="C82" s="149" t="s">
        <v>923</v>
      </c>
      <c r="D82" s="141" t="s">
        <v>34</v>
      </c>
      <c r="E82" s="142">
        <v>35550</v>
      </c>
      <c r="F82" s="141" t="s">
        <v>856</v>
      </c>
      <c r="G82" s="142">
        <v>45538</v>
      </c>
      <c r="H82" s="142"/>
      <c r="I82" s="142">
        <v>45599</v>
      </c>
      <c r="J82" s="150"/>
      <c r="K82" s="143">
        <v>14000000</v>
      </c>
      <c r="L82" s="143">
        <v>0</v>
      </c>
      <c r="M82" s="149" t="s">
        <v>924</v>
      </c>
    </row>
    <row r="83" spans="1:13" x14ac:dyDescent="0.3">
      <c r="A83" s="135">
        <f>IF(C83="","",SUBTOTAL(3,$C$4:C83))</f>
        <v>80</v>
      </c>
      <c r="B83" s="135" t="s">
        <v>806</v>
      </c>
      <c r="C83" s="149" t="s">
        <v>710</v>
      </c>
      <c r="D83" s="141" t="s">
        <v>34</v>
      </c>
      <c r="E83" s="142">
        <v>33559</v>
      </c>
      <c r="F83" s="141" t="s">
        <v>104</v>
      </c>
      <c r="G83" s="142">
        <v>45547</v>
      </c>
      <c r="H83" s="142"/>
      <c r="I83" s="142">
        <v>45608</v>
      </c>
      <c r="J83" s="150"/>
      <c r="K83" s="143">
        <v>9000000</v>
      </c>
      <c r="L83" s="143">
        <v>11000000</v>
      </c>
      <c r="M83" s="149"/>
    </row>
    <row r="84" spans="1:13" x14ac:dyDescent="0.3">
      <c r="A84" s="135">
        <f>IF(C84="","",SUBTOTAL(3,$C$4:C84))</f>
        <v>81</v>
      </c>
      <c r="B84" s="135" t="s">
        <v>925</v>
      </c>
      <c r="C84" s="149" t="s">
        <v>926</v>
      </c>
      <c r="D84" s="141" t="s">
        <v>34</v>
      </c>
      <c r="E84" s="142">
        <v>33107</v>
      </c>
      <c r="F84" s="141" t="s">
        <v>927</v>
      </c>
      <c r="G84" s="142">
        <v>45558</v>
      </c>
      <c r="H84" s="142"/>
      <c r="I84" s="142">
        <v>45619</v>
      </c>
      <c r="J84" s="150"/>
      <c r="K84" s="143">
        <v>14000000</v>
      </c>
      <c r="L84" s="143">
        <v>0</v>
      </c>
      <c r="M84" s="149" t="s">
        <v>928</v>
      </c>
    </row>
    <row r="85" spans="1:13" x14ac:dyDescent="0.3">
      <c r="A85" s="135">
        <f>IF(C85="","",SUBTOTAL(3,$C$4:C85))</f>
        <v>82</v>
      </c>
      <c r="B85" s="159" t="s">
        <v>919</v>
      </c>
      <c r="C85" s="149" t="s">
        <v>722</v>
      </c>
      <c r="D85" s="141" t="s">
        <v>34</v>
      </c>
      <c r="E85" s="142">
        <v>32822</v>
      </c>
      <c r="F85" s="141" t="s">
        <v>929</v>
      </c>
      <c r="G85" s="142">
        <v>45561</v>
      </c>
      <c r="H85" s="142"/>
      <c r="I85" s="142">
        <v>45627</v>
      </c>
      <c r="J85" s="150">
        <v>46081</v>
      </c>
      <c r="K85" s="143">
        <v>16000000</v>
      </c>
      <c r="L85" s="143">
        <v>20000000</v>
      </c>
      <c r="M85" s="149" t="s">
        <v>930</v>
      </c>
    </row>
    <row r="86" spans="1:13" x14ac:dyDescent="0.3">
      <c r="A86" s="135">
        <f>IF(C86="","",SUBTOTAL(3,$C$4:C86))</f>
        <v>83</v>
      </c>
      <c r="B86" s="135" t="s">
        <v>806</v>
      </c>
      <c r="C86" s="149" t="s">
        <v>731</v>
      </c>
      <c r="D86" s="141" t="s">
        <v>34</v>
      </c>
      <c r="E86" s="142">
        <v>33271</v>
      </c>
      <c r="F86" s="141" t="s">
        <v>739</v>
      </c>
      <c r="G86" s="142">
        <v>45562</v>
      </c>
      <c r="H86" s="142"/>
      <c r="I86" s="142">
        <v>45627</v>
      </c>
      <c r="J86" s="150"/>
      <c r="K86" s="143">
        <v>15000000</v>
      </c>
      <c r="L86" s="143">
        <v>18000000</v>
      </c>
      <c r="M86" s="149"/>
    </row>
    <row r="87" spans="1:13" x14ac:dyDescent="0.3">
      <c r="A87" s="135">
        <f>IF(C87="","",SUBTOTAL(3,$C$4:C87))</f>
        <v>84</v>
      </c>
      <c r="B87" s="135"/>
      <c r="C87" s="149" t="s">
        <v>931</v>
      </c>
      <c r="D87" s="141" t="s">
        <v>34</v>
      </c>
      <c r="E87" s="142">
        <v>33347</v>
      </c>
      <c r="F87" s="141" t="s">
        <v>927</v>
      </c>
      <c r="G87" s="142">
        <v>45565</v>
      </c>
      <c r="H87" s="142"/>
      <c r="I87" s="142">
        <v>45626</v>
      </c>
      <c r="J87" s="150"/>
      <c r="K87" s="143">
        <v>16000000</v>
      </c>
      <c r="L87" s="143">
        <v>0</v>
      </c>
      <c r="M87" s="149" t="s">
        <v>932</v>
      </c>
    </row>
    <row r="88" spans="1:13" x14ac:dyDescent="0.3">
      <c r="A88" s="135">
        <f>IF(C88="","",SUBTOTAL(3,$C$4:C88))</f>
        <v>85</v>
      </c>
      <c r="B88" s="135" t="s">
        <v>806</v>
      </c>
      <c r="C88" s="149" t="s">
        <v>743</v>
      </c>
      <c r="D88" s="141" t="s">
        <v>34</v>
      </c>
      <c r="E88" s="142">
        <v>27530</v>
      </c>
      <c r="F88" s="141" t="s">
        <v>750</v>
      </c>
      <c r="G88" s="142">
        <v>45566</v>
      </c>
      <c r="H88" s="142"/>
      <c r="I88" s="142">
        <v>45627</v>
      </c>
      <c r="J88" s="150"/>
      <c r="K88" s="143">
        <f>0.8*L88</f>
        <v>20000000</v>
      </c>
      <c r="L88" s="143">
        <v>25000000</v>
      </c>
      <c r="M88" s="149"/>
    </row>
    <row r="89" spans="1:13" x14ac:dyDescent="0.3">
      <c r="A89" s="135">
        <f>IF(C89="","",SUBTOTAL(3,$C$4:C89))</f>
        <v>86</v>
      </c>
      <c r="B89" s="135"/>
      <c r="C89" s="149" t="s">
        <v>933</v>
      </c>
      <c r="D89" s="141" t="s">
        <v>34</v>
      </c>
      <c r="E89" s="142">
        <v>34523</v>
      </c>
      <c r="F89" s="141" t="s">
        <v>920</v>
      </c>
      <c r="G89" s="142">
        <v>45572</v>
      </c>
      <c r="H89" s="142"/>
      <c r="I89" s="142">
        <v>45633</v>
      </c>
      <c r="J89" s="150"/>
      <c r="K89" s="143">
        <v>14000000</v>
      </c>
      <c r="L89" s="143">
        <v>0</v>
      </c>
      <c r="M89" s="149" t="s">
        <v>934</v>
      </c>
    </row>
    <row r="90" spans="1:13" x14ac:dyDescent="0.3">
      <c r="A90" s="135">
        <f>IF(C90="","",SUBTOTAL(3,$C$4:C90))</f>
        <v>87</v>
      </c>
      <c r="B90" s="135" t="s">
        <v>806</v>
      </c>
      <c r="C90" s="149" t="s">
        <v>208</v>
      </c>
      <c r="D90" s="141" t="s">
        <v>34</v>
      </c>
      <c r="E90" s="142"/>
      <c r="F90" s="141" t="s">
        <v>899</v>
      </c>
      <c r="G90" s="142">
        <v>45580</v>
      </c>
      <c r="H90" s="142"/>
      <c r="I90" s="142">
        <v>45580</v>
      </c>
      <c r="J90" s="150"/>
      <c r="K90" s="143">
        <v>20000000</v>
      </c>
      <c r="L90" s="143">
        <v>20000000</v>
      </c>
      <c r="M90" s="149"/>
    </row>
    <row r="91" spans="1:13" x14ac:dyDescent="0.3">
      <c r="A91" s="135">
        <f>IF(C91="","",SUBTOTAL(3,$C$4:C91))</f>
        <v>88</v>
      </c>
      <c r="B91" s="135" t="s">
        <v>919</v>
      </c>
      <c r="C91" s="149" t="s">
        <v>763</v>
      </c>
      <c r="D91" s="141" t="s">
        <v>34</v>
      </c>
      <c r="E91" s="142">
        <v>32758</v>
      </c>
      <c r="F91" s="141" t="s">
        <v>867</v>
      </c>
      <c r="G91" s="142">
        <v>45607</v>
      </c>
      <c r="H91" s="142"/>
      <c r="I91" s="142">
        <v>45668</v>
      </c>
      <c r="J91" s="150">
        <v>46056</v>
      </c>
      <c r="K91" s="143">
        <v>16000000</v>
      </c>
      <c r="L91" s="143">
        <v>20000000</v>
      </c>
      <c r="M91" s="149"/>
    </row>
    <row r="92" spans="1:13" x14ac:dyDescent="0.3">
      <c r="A92" s="135">
        <f>IF(C92="","",SUBTOTAL(3,$C$4:C92))</f>
        <v>89</v>
      </c>
      <c r="B92" s="135" t="s">
        <v>919</v>
      </c>
      <c r="C92" s="149" t="s">
        <v>776</v>
      </c>
      <c r="D92" s="141" t="s">
        <v>34</v>
      </c>
      <c r="E92" s="142">
        <v>34839</v>
      </c>
      <c r="F92" s="141" t="s">
        <v>920</v>
      </c>
      <c r="G92" s="142">
        <v>45614</v>
      </c>
      <c r="H92" s="142"/>
      <c r="I92" s="142">
        <v>45675</v>
      </c>
      <c r="J92" s="150">
        <v>46040</v>
      </c>
      <c r="K92" s="143">
        <v>16000000</v>
      </c>
      <c r="L92" s="143">
        <v>18000000</v>
      </c>
      <c r="M92" s="149"/>
    </row>
    <row r="93" spans="1:13" x14ac:dyDescent="0.3">
      <c r="A93" s="135">
        <f>IF(C93="","",SUBTOTAL(3,$C$4:C93))</f>
        <v>90</v>
      </c>
      <c r="B93" s="135"/>
      <c r="C93" s="149" t="s">
        <v>935</v>
      </c>
      <c r="D93" s="141" t="s">
        <v>34</v>
      </c>
      <c r="E93" s="142">
        <v>29115</v>
      </c>
      <c r="F93" s="141" t="s">
        <v>927</v>
      </c>
      <c r="G93" s="142">
        <v>45617</v>
      </c>
      <c r="H93" s="142"/>
      <c r="I93" s="142">
        <v>45675</v>
      </c>
      <c r="J93" s="150"/>
      <c r="K93" s="143">
        <v>14500000</v>
      </c>
      <c r="L93" s="143">
        <v>0</v>
      </c>
      <c r="M93" s="149" t="s">
        <v>936</v>
      </c>
    </row>
    <row r="94" spans="1:13" x14ac:dyDescent="0.3">
      <c r="A94" s="135">
        <f>IF(C94="","",SUBTOTAL(3,$C$4:C94))</f>
        <v>91</v>
      </c>
      <c r="B94" s="135" t="s">
        <v>919</v>
      </c>
      <c r="C94" s="149" t="s">
        <v>1491</v>
      </c>
      <c r="D94" s="141" t="s">
        <v>34</v>
      </c>
      <c r="E94" s="142">
        <v>32952</v>
      </c>
      <c r="F94" s="141" t="s">
        <v>1492</v>
      </c>
      <c r="G94" s="142">
        <v>45751</v>
      </c>
      <c r="H94" s="142"/>
      <c r="I94" s="142">
        <v>45812</v>
      </c>
      <c r="J94" s="150">
        <v>46177</v>
      </c>
      <c r="K94" s="143">
        <v>11000000</v>
      </c>
      <c r="L94" s="143">
        <v>15000000</v>
      </c>
      <c r="M94" s="149" t="s">
        <v>1499</v>
      </c>
    </row>
    <row r="95" spans="1:13" x14ac:dyDescent="0.3">
      <c r="A95" s="135">
        <f>IF(C95="","",SUBTOTAL(3,$C$4:C95))</f>
        <v>92</v>
      </c>
      <c r="B95" s="135" t="s">
        <v>919</v>
      </c>
      <c r="C95" s="149" t="s">
        <v>1493</v>
      </c>
      <c r="D95" s="141" t="s">
        <v>34</v>
      </c>
      <c r="E95" s="142">
        <v>33008</v>
      </c>
      <c r="F95" s="141" t="s">
        <v>395</v>
      </c>
      <c r="G95" s="142">
        <v>45755</v>
      </c>
      <c r="H95" s="142"/>
      <c r="I95" s="142">
        <v>45816</v>
      </c>
      <c r="J95" s="150">
        <v>46181</v>
      </c>
      <c r="K95" s="143">
        <v>20000000</v>
      </c>
      <c r="L95" s="143">
        <v>25000000</v>
      </c>
      <c r="M95" s="149"/>
    </row>
    <row r="96" spans="1:13" x14ac:dyDescent="0.3">
      <c r="A96" s="135">
        <f>IF(C96="","",SUBTOTAL(3,$C$4:C96))</f>
        <v>93</v>
      </c>
      <c r="B96" s="135" t="s">
        <v>919</v>
      </c>
      <c r="C96" s="149" t="s">
        <v>1494</v>
      </c>
      <c r="D96" s="141" t="s">
        <v>34</v>
      </c>
      <c r="E96" s="142">
        <v>33205</v>
      </c>
      <c r="F96" s="141" t="s">
        <v>1495</v>
      </c>
      <c r="G96" s="142">
        <v>45763</v>
      </c>
      <c r="H96" s="142"/>
      <c r="I96" s="142">
        <v>45763</v>
      </c>
      <c r="J96" s="150">
        <v>46127</v>
      </c>
      <c r="K96" s="143">
        <v>21000000</v>
      </c>
      <c r="L96" s="143"/>
      <c r="M96" s="149" t="s">
        <v>1501</v>
      </c>
    </row>
    <row r="97" spans="1:13" x14ac:dyDescent="0.3">
      <c r="A97" s="135">
        <f>IF(C97="","",SUBTOTAL(3,$C$4:C97))</f>
        <v>94</v>
      </c>
      <c r="B97" s="135" t="s">
        <v>919</v>
      </c>
      <c r="C97" s="149" t="s">
        <v>1496</v>
      </c>
      <c r="D97" s="141" t="s">
        <v>34</v>
      </c>
      <c r="E97" s="142">
        <v>35864</v>
      </c>
      <c r="F97" s="141" t="s">
        <v>1497</v>
      </c>
      <c r="G97" s="142">
        <v>45768</v>
      </c>
      <c r="H97" s="142"/>
      <c r="I97" s="142">
        <v>45829</v>
      </c>
      <c r="J97" s="150">
        <v>45829</v>
      </c>
      <c r="K97" s="143">
        <v>16000000</v>
      </c>
      <c r="L97" s="143">
        <v>19000000</v>
      </c>
      <c r="M97" s="149"/>
    </row>
    <row r="98" spans="1:13" x14ac:dyDescent="0.3">
      <c r="A98" s="135">
        <f>IF(C98="","",SUBTOTAL(3,$C$4:C98))</f>
        <v>95</v>
      </c>
      <c r="B98" s="135" t="s">
        <v>919</v>
      </c>
      <c r="C98" s="149" t="s">
        <v>700</v>
      </c>
      <c r="D98" s="141" t="s">
        <v>34</v>
      </c>
      <c r="E98" s="142">
        <v>27484</v>
      </c>
      <c r="F98" s="141" t="s">
        <v>1498</v>
      </c>
      <c r="G98" s="142">
        <v>45768</v>
      </c>
      <c r="H98" s="142"/>
      <c r="I98" s="142">
        <v>45768</v>
      </c>
      <c r="J98" s="150">
        <v>46132</v>
      </c>
      <c r="K98" s="143">
        <v>30000000</v>
      </c>
      <c r="L98" s="143">
        <v>30000000</v>
      </c>
      <c r="M98" s="149" t="s">
        <v>1577</v>
      </c>
    </row>
    <row r="99" spans="1:13" x14ac:dyDescent="0.3">
      <c r="A99" s="135">
        <f>IF(C99="","",SUBTOTAL(3,$C$4:C99))</f>
        <v>96</v>
      </c>
      <c r="B99" s="135" t="s">
        <v>919</v>
      </c>
      <c r="C99" s="149" t="s">
        <v>1500</v>
      </c>
      <c r="D99" s="141" t="s">
        <v>34</v>
      </c>
      <c r="E99" s="142">
        <v>36122</v>
      </c>
      <c r="F99" s="141" t="s">
        <v>224</v>
      </c>
      <c r="G99" s="142">
        <v>45782</v>
      </c>
      <c r="H99" s="142"/>
      <c r="I99" s="142">
        <v>45843</v>
      </c>
      <c r="J99" s="150">
        <v>46235</v>
      </c>
      <c r="K99" s="143">
        <v>14000000</v>
      </c>
      <c r="L99" s="143">
        <v>17000000</v>
      </c>
      <c r="M99" s="149"/>
    </row>
    <row r="100" spans="1:13" s="161" customFormat="1" ht="28.5" customHeight="1" x14ac:dyDescent="0.25">
      <c r="A100" s="135">
        <f>IF(C100="","",SUBTOTAL(3,$C$4:C100))</f>
        <v>97</v>
      </c>
      <c r="B100" s="157" t="s">
        <v>1585</v>
      </c>
      <c r="C100" s="160" t="s">
        <v>1506</v>
      </c>
      <c r="D100" s="136" t="s">
        <v>34</v>
      </c>
      <c r="E100" s="138">
        <v>34290</v>
      </c>
      <c r="F100" s="136" t="s">
        <v>878</v>
      </c>
      <c r="G100" s="138">
        <v>45785</v>
      </c>
      <c r="H100" s="138"/>
      <c r="I100" s="138">
        <v>45846</v>
      </c>
      <c r="J100" s="139"/>
      <c r="K100" s="140">
        <v>9600000</v>
      </c>
      <c r="L100" s="140">
        <v>12000000</v>
      </c>
      <c r="M100" s="160"/>
    </row>
    <row r="101" spans="1:13" x14ac:dyDescent="0.3">
      <c r="A101" s="135">
        <f>IF(C101="","",SUBTOTAL(3,$C$4:C101))</f>
        <v>98</v>
      </c>
      <c r="B101" s="135" t="s">
        <v>919</v>
      </c>
      <c r="C101" s="149" t="s">
        <v>1567</v>
      </c>
      <c r="D101" s="141" t="s">
        <v>34</v>
      </c>
      <c r="E101" s="142">
        <v>35414</v>
      </c>
      <c r="F101" s="141" t="s">
        <v>1568</v>
      </c>
      <c r="G101" s="142">
        <v>45810</v>
      </c>
      <c r="H101" s="142"/>
      <c r="I101" s="142">
        <v>45871</v>
      </c>
      <c r="J101" s="150">
        <v>46236</v>
      </c>
      <c r="K101" s="143">
        <v>13000000</v>
      </c>
      <c r="L101" s="143"/>
      <c r="M101" s="149"/>
    </row>
    <row r="102" spans="1:13" x14ac:dyDescent="0.3">
      <c r="A102" s="135">
        <f>IF(C102="","",SUBTOTAL(3,$C$4:C102))</f>
        <v>99</v>
      </c>
      <c r="B102" s="135"/>
      <c r="C102" s="149" t="s">
        <v>1569</v>
      </c>
      <c r="D102" s="141" t="s">
        <v>34</v>
      </c>
      <c r="E102" s="142"/>
      <c r="F102" s="141" t="s">
        <v>1570</v>
      </c>
      <c r="G102" s="142">
        <v>45820</v>
      </c>
      <c r="H102" s="142"/>
      <c r="I102" s="142">
        <v>45880</v>
      </c>
      <c r="J102" s="150"/>
      <c r="K102" s="143"/>
      <c r="L102" s="143"/>
      <c r="M102" s="149" t="s">
        <v>1575</v>
      </c>
    </row>
    <row r="103" spans="1:13" x14ac:dyDescent="0.3">
      <c r="A103" s="135">
        <f>IF(C103="","",SUBTOTAL(3,$C$4:C103))</f>
        <v>100</v>
      </c>
      <c r="B103" s="135"/>
      <c r="C103" s="149" t="s">
        <v>1576</v>
      </c>
      <c r="D103" s="141" t="s">
        <v>34</v>
      </c>
      <c r="E103" s="142">
        <v>28153</v>
      </c>
      <c r="F103" s="141" t="s">
        <v>1570</v>
      </c>
      <c r="G103" s="142">
        <v>45833</v>
      </c>
      <c r="H103" s="142"/>
      <c r="I103" s="142">
        <v>45862</v>
      </c>
      <c r="J103" s="150"/>
      <c r="K103" s="143">
        <v>20000000</v>
      </c>
      <c r="L103" s="143"/>
      <c r="M103" s="149" t="s">
        <v>1586</v>
      </c>
    </row>
    <row r="104" spans="1:13" x14ac:dyDescent="0.3">
      <c r="A104" s="135">
        <f>IF(C104="","",SUBTOTAL(3,$C$4:C104))</f>
        <v>101</v>
      </c>
      <c r="B104" s="135"/>
      <c r="C104" s="149" t="s">
        <v>1578</v>
      </c>
      <c r="D104" s="141" t="s">
        <v>34</v>
      </c>
      <c r="E104" s="142">
        <v>33105</v>
      </c>
      <c r="F104" s="141" t="s">
        <v>867</v>
      </c>
      <c r="G104" s="142">
        <v>45839</v>
      </c>
      <c r="H104" s="142"/>
      <c r="I104" s="142">
        <v>45901</v>
      </c>
      <c r="J104" s="150"/>
      <c r="K104" s="143">
        <v>15000000</v>
      </c>
      <c r="L104" s="143"/>
      <c r="M104" s="149"/>
    </row>
    <row r="105" spans="1:13" x14ac:dyDescent="0.3">
      <c r="A105" s="135">
        <f>IF(C105="","",SUBTOTAL(3,$C$4:C105))</f>
        <v>102</v>
      </c>
      <c r="B105" s="135"/>
      <c r="C105" s="149" t="s">
        <v>1579</v>
      </c>
      <c r="D105" s="141" t="s">
        <v>34</v>
      </c>
      <c r="E105" s="142">
        <v>34719</v>
      </c>
      <c r="F105" s="141" t="s">
        <v>1570</v>
      </c>
      <c r="G105" s="142">
        <v>45839</v>
      </c>
      <c r="H105" s="142"/>
      <c r="I105" s="142">
        <v>45901</v>
      </c>
      <c r="J105" s="150"/>
      <c r="K105" s="143">
        <v>16000000</v>
      </c>
      <c r="L105" s="143"/>
      <c r="M105" s="149"/>
    </row>
    <row r="106" spans="1:13" x14ac:dyDescent="0.3">
      <c r="A106" s="135">
        <f>IF(C106="","",SUBTOTAL(3,$C$4:C107))</f>
        <v>104</v>
      </c>
      <c r="B106" s="135"/>
      <c r="C106" s="149" t="s">
        <v>1589</v>
      </c>
      <c r="D106" s="141" t="s">
        <v>34</v>
      </c>
      <c r="E106" s="142">
        <v>28732</v>
      </c>
      <c r="F106" s="141" t="s">
        <v>395</v>
      </c>
      <c r="G106" s="142">
        <v>45848</v>
      </c>
      <c r="H106" s="142"/>
      <c r="I106" s="142">
        <v>45879</v>
      </c>
      <c r="J106" s="143"/>
      <c r="K106" s="143">
        <v>32000000</v>
      </c>
      <c r="L106" s="143">
        <v>32000000</v>
      </c>
      <c r="M106" s="149"/>
    </row>
    <row r="107" spans="1:13" x14ac:dyDescent="0.3">
      <c r="A107" s="135">
        <f>IF(C107="","",SUBTOTAL(3,$C$4:C108))</f>
        <v>105</v>
      </c>
      <c r="B107" s="135"/>
      <c r="C107" s="149" t="s">
        <v>1594</v>
      </c>
      <c r="D107" s="141" t="s">
        <v>34</v>
      </c>
      <c r="E107" s="142">
        <v>34079</v>
      </c>
      <c r="F107" s="141" t="s">
        <v>224</v>
      </c>
      <c r="G107" s="142">
        <v>45866</v>
      </c>
      <c r="H107" s="142"/>
      <c r="I107" s="142">
        <v>45928</v>
      </c>
      <c r="J107" s="150"/>
      <c r="K107" s="143">
        <v>18000000</v>
      </c>
      <c r="L107" s="143"/>
      <c r="M107" s="149"/>
    </row>
    <row r="108" spans="1:13" x14ac:dyDescent="0.3">
      <c r="A108" s="135">
        <f>IF(C108="","",SUBTOTAL(3,$C$4:C108))</f>
        <v>105</v>
      </c>
      <c r="B108" s="135"/>
      <c r="C108" s="149" t="s">
        <v>1581</v>
      </c>
      <c r="D108" s="141" t="s">
        <v>34</v>
      </c>
      <c r="E108" s="142">
        <v>34245</v>
      </c>
      <c r="F108" s="141" t="s">
        <v>1582</v>
      </c>
      <c r="G108" s="142">
        <v>45852</v>
      </c>
      <c r="H108" s="142"/>
      <c r="I108" s="142">
        <v>45913</v>
      </c>
      <c r="J108" s="150"/>
      <c r="K108" s="143">
        <v>14000000</v>
      </c>
      <c r="L108" s="143"/>
      <c r="M108" s="149" t="s">
        <v>1584</v>
      </c>
    </row>
    <row r="109" spans="1:13" x14ac:dyDescent="0.3">
      <c r="A109" s="135">
        <f>IF(C109="","",SUBTOTAL(3,$C$4:C109))</f>
        <v>106</v>
      </c>
      <c r="B109" s="135"/>
      <c r="C109" s="149" t="s">
        <v>1590</v>
      </c>
      <c r="D109" s="141" t="s">
        <v>34</v>
      </c>
      <c r="E109" s="142">
        <v>30417</v>
      </c>
      <c r="F109" s="141" t="s">
        <v>1570</v>
      </c>
      <c r="G109" s="142">
        <v>45875</v>
      </c>
      <c r="H109" s="142"/>
      <c r="I109" s="142">
        <v>45936</v>
      </c>
      <c r="J109" s="150"/>
      <c r="K109" s="143">
        <v>20000000</v>
      </c>
      <c r="L109" s="143"/>
      <c r="M109" s="149"/>
    </row>
    <row r="110" spans="1:13" x14ac:dyDescent="0.3">
      <c r="A110" s="135">
        <f>IF(C110="","",SUBTOTAL(3,$C$4:C110))</f>
        <v>107</v>
      </c>
      <c r="B110" s="135" t="s">
        <v>1815</v>
      </c>
      <c r="C110" s="149" t="s">
        <v>1595</v>
      </c>
      <c r="D110" s="141" t="s">
        <v>78</v>
      </c>
      <c r="E110" s="142">
        <v>37669</v>
      </c>
      <c r="F110" s="141" t="s">
        <v>89</v>
      </c>
      <c r="G110" s="142">
        <v>45905</v>
      </c>
      <c r="H110" s="142"/>
      <c r="I110" s="142">
        <v>45966</v>
      </c>
      <c r="J110" s="150"/>
      <c r="K110" s="143">
        <f>7000000*0.85</f>
        <v>5950000</v>
      </c>
      <c r="L110" s="143">
        <v>7000000</v>
      </c>
      <c r="M110" s="149"/>
    </row>
    <row r="111" spans="1:13" x14ac:dyDescent="0.3">
      <c r="A111" s="135">
        <f>IF(C111="","",SUBTOTAL(3,$C$4:C111))</f>
        <v>108</v>
      </c>
      <c r="B111" s="135" t="s">
        <v>1815</v>
      </c>
      <c r="C111" s="149" t="s">
        <v>1645</v>
      </c>
      <c r="D111" s="141" t="s">
        <v>78</v>
      </c>
      <c r="E111" s="142"/>
      <c r="F111" s="141" t="s">
        <v>1646</v>
      </c>
      <c r="G111" s="142">
        <v>45915</v>
      </c>
      <c r="H111" s="142"/>
      <c r="I111" s="142">
        <v>45945</v>
      </c>
      <c r="J111" s="150"/>
      <c r="K111" s="143">
        <f>22000000*0.8</f>
        <v>17600000</v>
      </c>
      <c r="L111" s="143">
        <v>22000000</v>
      </c>
      <c r="M111" s="149"/>
    </row>
    <row r="112" spans="1:13" s="163" customFormat="1" x14ac:dyDescent="0.3">
      <c r="A112" s="159">
        <f>IF(C112="","",SUBTOTAL(3,$C$4:C112))</f>
        <v>109</v>
      </c>
      <c r="B112" s="159" t="s">
        <v>919</v>
      </c>
      <c r="C112" s="370" t="s">
        <v>1798</v>
      </c>
      <c r="D112" s="371" t="s">
        <v>34</v>
      </c>
      <c r="E112" s="372">
        <v>31859</v>
      </c>
      <c r="F112" s="371" t="s">
        <v>395</v>
      </c>
      <c r="G112" s="372">
        <v>46038</v>
      </c>
      <c r="H112" s="372"/>
      <c r="I112" s="372">
        <v>46098</v>
      </c>
      <c r="J112" s="373">
        <v>46463</v>
      </c>
      <c r="K112" s="374"/>
      <c r="L112" s="374"/>
      <c r="M112" s="370"/>
    </row>
    <row r="113" spans="1:13" s="163" customFormat="1" x14ac:dyDescent="0.3">
      <c r="A113" s="159">
        <f>IF(C113="","",SUBTOTAL(3,$C$4:C113))</f>
        <v>110</v>
      </c>
      <c r="B113" s="159" t="s">
        <v>919</v>
      </c>
      <c r="C113" s="370" t="s">
        <v>1799</v>
      </c>
      <c r="D113" s="371" t="s">
        <v>34</v>
      </c>
      <c r="E113" s="372">
        <v>36581</v>
      </c>
      <c r="F113" s="371" t="s">
        <v>878</v>
      </c>
      <c r="G113" s="372">
        <v>46048</v>
      </c>
      <c r="H113" s="372"/>
      <c r="I113" s="372">
        <v>46108</v>
      </c>
      <c r="J113" s="373">
        <v>46473</v>
      </c>
      <c r="K113" s="374"/>
      <c r="L113" s="374"/>
      <c r="M113" s="370"/>
    </row>
    <row r="114" spans="1:13" s="163" customFormat="1" x14ac:dyDescent="0.3">
      <c r="A114" s="162">
        <f>IF(C114="","",SUBTOTAL(3,$C$4:C114))</f>
        <v>111</v>
      </c>
      <c r="B114" s="162"/>
      <c r="C114" s="163" t="s">
        <v>1846</v>
      </c>
      <c r="D114" s="164"/>
      <c r="E114" s="165"/>
      <c r="F114" s="164"/>
      <c r="G114" s="169"/>
      <c r="H114" s="165"/>
      <c r="I114" s="165"/>
      <c r="J114" s="166"/>
      <c r="K114" s="167"/>
      <c r="L114" s="167"/>
    </row>
    <row r="115" spans="1:13" s="163" customFormat="1" x14ac:dyDescent="0.3">
      <c r="A115" s="162" t="str">
        <f>IF(C115="","",SUBTOTAL(3,$C$4:C115))</f>
        <v/>
      </c>
      <c r="B115" s="162"/>
      <c r="D115" s="164"/>
      <c r="E115" s="165"/>
      <c r="F115" s="164"/>
      <c r="G115" s="169"/>
      <c r="H115" s="165"/>
      <c r="I115" s="165"/>
      <c r="J115" s="166"/>
      <c r="K115" s="167"/>
      <c r="L115" s="167"/>
    </row>
    <row r="116" spans="1:13" s="163" customFormat="1" x14ac:dyDescent="0.3">
      <c r="A116" s="162" t="str">
        <f>IF(C116="","",SUBTOTAL(3,$C$4:C116))</f>
        <v/>
      </c>
      <c r="B116" s="162"/>
      <c r="D116" s="164"/>
      <c r="E116" s="165"/>
      <c r="F116" s="164"/>
      <c r="G116" s="169"/>
      <c r="H116" s="165"/>
      <c r="I116" s="165"/>
      <c r="J116" s="166"/>
      <c r="K116" s="167"/>
      <c r="L116" s="167"/>
    </row>
    <row r="117" spans="1:13" s="163" customFormat="1" x14ac:dyDescent="0.3">
      <c r="A117" s="162" t="str">
        <f>IF(C117="","",SUBTOTAL(3,$C$4:C117))</f>
        <v/>
      </c>
      <c r="B117" s="162"/>
      <c r="D117" s="164"/>
      <c r="E117" s="165"/>
      <c r="F117" s="164"/>
      <c r="G117" s="169"/>
      <c r="H117" s="165"/>
      <c r="I117" s="165"/>
      <c r="J117" s="166"/>
      <c r="K117" s="167"/>
      <c r="L117" s="167"/>
    </row>
    <row r="118" spans="1:13" s="163" customFormat="1" x14ac:dyDescent="0.3">
      <c r="A118" s="162" t="str">
        <f>IF(C118="","",SUBTOTAL(3,$C$4:C118))</f>
        <v/>
      </c>
      <c r="B118" s="162"/>
      <c r="D118" s="164"/>
      <c r="E118" s="165"/>
      <c r="F118" s="164"/>
      <c r="G118" s="169"/>
      <c r="H118" s="165"/>
      <c r="I118" s="165"/>
      <c r="J118" s="166"/>
      <c r="K118" s="167"/>
      <c r="L118" s="167"/>
    </row>
    <row r="119" spans="1:13" s="163" customFormat="1" x14ac:dyDescent="0.3">
      <c r="A119" s="162" t="str">
        <f>IF(C119="","",SUBTOTAL(3,$C$4:C119))</f>
        <v/>
      </c>
      <c r="B119" s="162"/>
      <c r="D119" s="164"/>
      <c r="E119" s="165"/>
      <c r="F119" s="164"/>
      <c r="G119" s="169"/>
      <c r="H119" s="165"/>
      <c r="I119" s="165"/>
      <c r="J119" s="166"/>
      <c r="K119" s="167"/>
      <c r="L119" s="167"/>
    </row>
    <row r="120" spans="1:13" s="163" customFormat="1" x14ac:dyDescent="0.3">
      <c r="A120" s="162" t="str">
        <f>IF(C120="","",SUBTOTAL(3,$C$4:C120))</f>
        <v/>
      </c>
      <c r="B120" s="162"/>
      <c r="D120" s="164"/>
      <c r="E120" s="165"/>
      <c r="F120" s="164"/>
      <c r="G120" s="169"/>
      <c r="H120" s="165"/>
      <c r="I120" s="165"/>
      <c r="J120" s="166"/>
      <c r="K120" s="167"/>
      <c r="L120" s="167"/>
    </row>
    <row r="121" spans="1:13" s="163" customFormat="1" x14ac:dyDescent="0.3">
      <c r="A121" s="162" t="str">
        <f>IF(C121="","",SUBTOTAL(3,$C$4:C121))</f>
        <v/>
      </c>
      <c r="B121" s="162"/>
      <c r="D121" s="164"/>
      <c r="E121" s="165"/>
      <c r="F121" s="164"/>
      <c r="G121" s="169"/>
      <c r="H121" s="165"/>
      <c r="I121" s="165"/>
      <c r="J121" s="166"/>
      <c r="K121" s="167"/>
      <c r="L121" s="167"/>
    </row>
    <row r="122" spans="1:13" s="163" customFormat="1" x14ac:dyDescent="0.3">
      <c r="A122" s="162" t="str">
        <f>IF(C122="","",SUBTOTAL(3,$C$4:C122))</f>
        <v/>
      </c>
      <c r="B122" s="162"/>
      <c r="D122" s="164"/>
      <c r="E122" s="165"/>
      <c r="F122" s="164"/>
      <c r="G122" s="169"/>
      <c r="H122" s="165"/>
      <c r="I122" s="165"/>
      <c r="J122" s="166"/>
      <c r="K122" s="167"/>
      <c r="L122" s="167"/>
    </row>
    <row r="123" spans="1:13" s="163" customFormat="1" x14ac:dyDescent="0.3">
      <c r="A123" s="162" t="str">
        <f>IF(C123="","",SUBTOTAL(3,$C$4:C123))</f>
        <v/>
      </c>
      <c r="B123" s="162"/>
      <c r="D123" s="164"/>
      <c r="E123" s="165"/>
      <c r="F123" s="164"/>
      <c r="G123" s="169"/>
      <c r="H123" s="165"/>
      <c r="I123" s="165"/>
      <c r="J123" s="166"/>
      <c r="K123" s="167"/>
      <c r="L123" s="167"/>
    </row>
    <row r="124" spans="1:13" s="163" customFormat="1" x14ac:dyDescent="0.3">
      <c r="A124" s="162" t="str">
        <f>IF(C124="","",SUBTOTAL(3,$C$4:C124))</f>
        <v/>
      </c>
      <c r="B124" s="162"/>
      <c r="D124" s="164"/>
      <c r="E124" s="165"/>
      <c r="F124" s="164"/>
      <c r="G124" s="169"/>
      <c r="H124" s="165"/>
      <c r="I124" s="165"/>
      <c r="J124" s="166"/>
      <c r="K124" s="167"/>
      <c r="L124" s="167"/>
    </row>
    <row r="125" spans="1:13" s="163" customFormat="1" x14ac:dyDescent="0.3">
      <c r="A125" s="162" t="str">
        <f>IF(C125="","",SUBTOTAL(3,$C$4:C125))</f>
        <v/>
      </c>
      <c r="B125" s="162"/>
      <c r="D125" s="164"/>
      <c r="E125" s="165"/>
      <c r="F125" s="164"/>
      <c r="G125" s="169"/>
      <c r="H125" s="165"/>
      <c r="I125" s="165"/>
      <c r="J125" s="166"/>
      <c r="K125" s="167"/>
      <c r="L125" s="167"/>
    </row>
    <row r="126" spans="1:13" s="163" customFormat="1" x14ac:dyDescent="0.3">
      <c r="A126" s="162" t="str">
        <f>IF(C126="","",SUBTOTAL(3,$C$4:C126))</f>
        <v/>
      </c>
      <c r="B126" s="162"/>
      <c r="D126" s="164"/>
      <c r="E126" s="165"/>
      <c r="F126" s="164"/>
      <c r="G126" s="169"/>
      <c r="H126" s="165"/>
      <c r="I126" s="165"/>
      <c r="J126" s="166"/>
      <c r="K126" s="167"/>
      <c r="L126" s="167"/>
    </row>
    <row r="127" spans="1:13" s="163" customFormat="1" x14ac:dyDescent="0.3">
      <c r="A127" s="162" t="str">
        <f>IF(C127="","",SUBTOTAL(3,$C$4:C127))</f>
        <v/>
      </c>
      <c r="B127" s="162"/>
      <c r="D127" s="164"/>
      <c r="E127" s="165"/>
      <c r="F127" s="164"/>
      <c r="G127" s="169"/>
      <c r="H127" s="165"/>
      <c r="I127" s="165"/>
      <c r="J127" s="166"/>
      <c r="K127" s="167"/>
      <c r="L127" s="167"/>
    </row>
    <row r="128" spans="1:13" s="163" customFormat="1" x14ac:dyDescent="0.3">
      <c r="A128" s="162" t="str">
        <f>IF(C128="","",SUBTOTAL(3,$C$4:C128))</f>
        <v/>
      </c>
      <c r="B128" s="162"/>
      <c r="D128" s="164"/>
      <c r="E128" s="165"/>
      <c r="F128" s="164"/>
      <c r="G128" s="169"/>
      <c r="H128" s="165"/>
      <c r="I128" s="165"/>
      <c r="J128" s="166"/>
      <c r="K128" s="167"/>
      <c r="L128" s="167"/>
    </row>
    <row r="129" spans="1:12" s="163" customFormat="1" x14ac:dyDescent="0.3">
      <c r="A129" s="162" t="str">
        <f>IF(C129="","",SUBTOTAL(3,$C$4:C129))</f>
        <v/>
      </c>
      <c r="B129" s="162"/>
      <c r="D129" s="164"/>
      <c r="E129" s="165"/>
      <c r="F129" s="164"/>
      <c r="G129" s="169"/>
      <c r="H129" s="165"/>
      <c r="I129" s="165"/>
      <c r="J129" s="166"/>
      <c r="K129" s="167"/>
      <c r="L129" s="167"/>
    </row>
    <row r="130" spans="1:12" s="163" customFormat="1" x14ac:dyDescent="0.3">
      <c r="A130" s="162" t="str">
        <f>IF(C130="","",SUBTOTAL(3,$C$4:C130))</f>
        <v/>
      </c>
      <c r="B130" s="162"/>
      <c r="D130" s="164"/>
      <c r="E130" s="165"/>
      <c r="F130" s="164"/>
      <c r="G130" s="169"/>
      <c r="H130" s="165"/>
      <c r="I130" s="165"/>
      <c r="J130" s="166"/>
      <c r="K130" s="167"/>
      <c r="L130" s="167"/>
    </row>
    <row r="131" spans="1:12" s="163" customFormat="1" x14ac:dyDescent="0.3">
      <c r="A131" s="162" t="str">
        <f>IF(C131="","",SUBTOTAL(3,$C$4:C131))</f>
        <v/>
      </c>
      <c r="B131" s="162"/>
      <c r="D131" s="164"/>
      <c r="E131" s="165"/>
      <c r="F131" s="164"/>
      <c r="G131" s="169"/>
      <c r="H131" s="165"/>
      <c r="I131" s="165"/>
      <c r="J131" s="166"/>
      <c r="K131" s="167"/>
      <c r="L131" s="167"/>
    </row>
    <row r="132" spans="1:12" s="163" customFormat="1" x14ac:dyDescent="0.3">
      <c r="A132" s="162" t="str">
        <f>IF(C132="","",SUBTOTAL(3,$C$4:C132))</f>
        <v/>
      </c>
      <c r="B132" s="162"/>
      <c r="D132" s="164"/>
      <c r="E132" s="165"/>
      <c r="F132" s="164"/>
      <c r="G132" s="169"/>
      <c r="H132" s="165"/>
      <c r="I132" s="165"/>
      <c r="J132" s="166"/>
      <c r="K132" s="167"/>
      <c r="L132" s="167"/>
    </row>
    <row r="133" spans="1:12" s="163" customFormat="1" x14ac:dyDescent="0.3">
      <c r="A133" s="162" t="str">
        <f>IF(C133="","",SUBTOTAL(3,$C$4:C133))</f>
        <v/>
      </c>
      <c r="B133" s="162"/>
      <c r="D133" s="164"/>
      <c r="E133" s="165"/>
      <c r="F133" s="164"/>
      <c r="G133" s="169"/>
      <c r="H133" s="165"/>
      <c r="I133" s="165"/>
      <c r="J133" s="166"/>
      <c r="K133" s="167"/>
      <c r="L133" s="167"/>
    </row>
    <row r="134" spans="1:12" s="163" customFormat="1" x14ac:dyDescent="0.3">
      <c r="A134" s="162" t="str">
        <f>IF(C134="","",SUBTOTAL(3,$C$4:C134))</f>
        <v/>
      </c>
      <c r="B134" s="162"/>
      <c r="D134" s="164"/>
      <c r="E134" s="165"/>
      <c r="F134" s="164"/>
      <c r="G134" s="169"/>
      <c r="H134" s="165"/>
      <c r="I134" s="165"/>
      <c r="J134" s="166"/>
      <c r="K134" s="167"/>
      <c r="L134" s="167"/>
    </row>
    <row r="135" spans="1:12" s="163" customFormat="1" x14ac:dyDescent="0.3">
      <c r="A135" s="162" t="str">
        <f>IF(C135="","",SUBTOTAL(3,$C$4:C135))</f>
        <v/>
      </c>
      <c r="B135" s="162"/>
      <c r="D135" s="164"/>
      <c r="E135" s="165"/>
      <c r="F135" s="164"/>
      <c r="G135" s="169"/>
      <c r="H135" s="165"/>
      <c r="I135" s="165"/>
      <c r="J135" s="166"/>
      <c r="K135" s="167"/>
      <c r="L135" s="167"/>
    </row>
    <row r="136" spans="1:12" s="163" customFormat="1" x14ac:dyDescent="0.3">
      <c r="A136" s="162" t="str">
        <f>IF(C136="","",SUBTOTAL(3,$C$4:C136))</f>
        <v/>
      </c>
      <c r="B136" s="162"/>
      <c r="D136" s="164"/>
      <c r="E136" s="165"/>
      <c r="F136" s="164"/>
      <c r="G136" s="169"/>
      <c r="H136" s="165"/>
      <c r="I136" s="165"/>
      <c r="J136" s="166"/>
      <c r="K136" s="167"/>
      <c r="L136" s="167"/>
    </row>
    <row r="137" spans="1:12" s="163" customFormat="1" x14ac:dyDescent="0.3">
      <c r="A137" s="162" t="str">
        <f>IF(C137="","",SUBTOTAL(3,$C$4:C137))</f>
        <v/>
      </c>
      <c r="B137" s="162"/>
      <c r="D137" s="164"/>
      <c r="E137" s="165"/>
      <c r="F137" s="164"/>
      <c r="G137" s="169"/>
      <c r="H137" s="165"/>
      <c r="I137" s="165"/>
      <c r="J137" s="166"/>
      <c r="K137" s="167"/>
      <c r="L137" s="167"/>
    </row>
    <row r="138" spans="1:12" s="163" customFormat="1" x14ac:dyDescent="0.3">
      <c r="A138" s="162" t="str">
        <f>IF(C138="","",SUBTOTAL(3,$C$4:C138))</f>
        <v/>
      </c>
      <c r="B138" s="162"/>
      <c r="D138" s="164"/>
      <c r="E138" s="165"/>
      <c r="F138" s="164"/>
      <c r="G138" s="169"/>
      <c r="H138" s="165"/>
      <c r="I138" s="165"/>
      <c r="J138" s="166"/>
      <c r="K138" s="167"/>
      <c r="L138" s="167"/>
    </row>
    <row r="139" spans="1:12" s="163" customFormat="1" x14ac:dyDescent="0.3">
      <c r="A139" s="162" t="str">
        <f>IF(C139="","",SUBTOTAL(3,$C$4:C139))</f>
        <v/>
      </c>
      <c r="B139" s="162"/>
      <c r="D139" s="164"/>
      <c r="E139" s="165"/>
      <c r="F139" s="164"/>
      <c r="G139" s="169"/>
      <c r="H139" s="165"/>
      <c r="I139" s="165"/>
      <c r="J139" s="166"/>
      <c r="K139" s="167"/>
      <c r="L139" s="167"/>
    </row>
    <row r="140" spans="1:12" s="163" customFormat="1" x14ac:dyDescent="0.3">
      <c r="A140" s="162" t="str">
        <f>IF(C140="","",SUBTOTAL(3,$C$4:C140))</f>
        <v/>
      </c>
      <c r="B140" s="162"/>
      <c r="D140" s="164"/>
      <c r="E140" s="165"/>
      <c r="F140" s="164"/>
      <c r="G140" s="169"/>
      <c r="H140" s="165"/>
      <c r="I140" s="165"/>
      <c r="J140" s="166"/>
      <c r="K140" s="167"/>
      <c r="L140" s="167"/>
    </row>
    <row r="141" spans="1:12" s="163" customFormat="1" x14ac:dyDescent="0.3">
      <c r="A141" s="162" t="str">
        <f>IF(C141="","",SUBTOTAL(3,$C$4:C141))</f>
        <v/>
      </c>
      <c r="B141" s="162"/>
      <c r="D141" s="164"/>
      <c r="E141" s="165"/>
      <c r="F141" s="164"/>
      <c r="G141" s="169"/>
      <c r="H141" s="165"/>
      <c r="I141" s="165"/>
      <c r="J141" s="166"/>
      <c r="K141" s="167"/>
      <c r="L141" s="167"/>
    </row>
    <row r="142" spans="1:12" s="163" customFormat="1" x14ac:dyDescent="0.3">
      <c r="A142" s="162" t="str">
        <f>IF(C142="","",SUBTOTAL(3,$C$4:C142))</f>
        <v/>
      </c>
      <c r="B142" s="162"/>
      <c r="D142" s="164"/>
      <c r="E142" s="165"/>
      <c r="F142" s="164"/>
      <c r="G142" s="169"/>
      <c r="H142" s="165"/>
      <c r="I142" s="165"/>
      <c r="J142" s="166"/>
      <c r="K142" s="167"/>
      <c r="L142" s="167"/>
    </row>
    <row r="143" spans="1:12" s="163" customFormat="1" x14ac:dyDescent="0.3">
      <c r="A143" s="162" t="str">
        <f>IF(C143="","",SUBTOTAL(3,$C$4:C143))</f>
        <v/>
      </c>
      <c r="B143" s="162"/>
      <c r="D143" s="164"/>
      <c r="E143" s="165"/>
      <c r="F143" s="164"/>
      <c r="G143" s="169"/>
      <c r="H143" s="165"/>
      <c r="I143" s="165"/>
      <c r="J143" s="166"/>
      <c r="K143" s="167"/>
      <c r="L143" s="167"/>
    </row>
    <row r="144" spans="1:12" s="163" customFormat="1" x14ac:dyDescent="0.3">
      <c r="A144" s="162" t="str">
        <f>IF(C144="","",SUBTOTAL(3,$C$4:C144))</f>
        <v/>
      </c>
      <c r="B144" s="162"/>
      <c r="D144" s="164"/>
      <c r="E144" s="165"/>
      <c r="F144" s="164"/>
      <c r="G144" s="169"/>
      <c r="H144" s="165"/>
      <c r="I144" s="165"/>
      <c r="J144" s="166"/>
      <c r="K144" s="167"/>
      <c r="L144" s="167"/>
    </row>
    <row r="145" spans="1:12" s="163" customFormat="1" x14ac:dyDescent="0.3">
      <c r="A145" s="162" t="str">
        <f>IF(C145="","",SUBTOTAL(3,$C$4:C145))</f>
        <v/>
      </c>
      <c r="B145" s="162"/>
      <c r="D145" s="164"/>
      <c r="E145" s="165"/>
      <c r="F145" s="164"/>
      <c r="G145" s="169"/>
      <c r="H145" s="165"/>
      <c r="I145" s="165"/>
      <c r="J145" s="166"/>
      <c r="K145" s="167"/>
      <c r="L145" s="167"/>
    </row>
    <row r="146" spans="1:12" s="163" customFormat="1" x14ac:dyDescent="0.3">
      <c r="A146" s="162" t="str">
        <f>IF(C146="","",SUBTOTAL(3,$C$4:C146))</f>
        <v/>
      </c>
      <c r="B146" s="162"/>
      <c r="D146" s="164"/>
      <c r="E146" s="165"/>
      <c r="F146" s="164"/>
      <c r="G146" s="169"/>
      <c r="H146" s="165"/>
      <c r="I146" s="165"/>
      <c r="J146" s="166"/>
      <c r="K146" s="167"/>
      <c r="L146" s="167"/>
    </row>
    <row r="147" spans="1:12" s="163" customFormat="1" x14ac:dyDescent="0.3">
      <c r="A147" s="162" t="str">
        <f>IF(C147="","",SUBTOTAL(3,$C$4:C147))</f>
        <v/>
      </c>
      <c r="B147" s="162"/>
      <c r="D147" s="164"/>
      <c r="E147" s="165"/>
      <c r="F147" s="164"/>
      <c r="G147" s="169"/>
      <c r="H147" s="165"/>
      <c r="I147" s="165"/>
      <c r="J147" s="166"/>
      <c r="K147" s="167"/>
      <c r="L147" s="167"/>
    </row>
    <row r="148" spans="1:12" s="163" customFormat="1" x14ac:dyDescent="0.3">
      <c r="A148" s="162" t="str">
        <f>IF(C148="","",SUBTOTAL(3,$C$4:C148))</f>
        <v/>
      </c>
      <c r="B148" s="162"/>
      <c r="D148" s="164"/>
      <c r="E148" s="165"/>
      <c r="F148" s="164"/>
      <c r="G148" s="169"/>
      <c r="H148" s="165"/>
      <c r="I148" s="165"/>
      <c r="J148" s="166"/>
      <c r="K148" s="167"/>
      <c r="L148" s="167"/>
    </row>
    <row r="149" spans="1:12" s="163" customFormat="1" x14ac:dyDescent="0.3">
      <c r="A149" s="162" t="str">
        <f>IF(C149="","",SUBTOTAL(3,$C$4:C149))</f>
        <v/>
      </c>
      <c r="B149" s="162"/>
      <c r="D149" s="164"/>
      <c r="E149" s="165"/>
      <c r="F149" s="164"/>
      <c r="G149" s="169"/>
      <c r="H149" s="165"/>
      <c r="I149" s="165"/>
      <c r="J149" s="166"/>
      <c r="K149" s="167"/>
      <c r="L149" s="167"/>
    </row>
    <row r="150" spans="1:12" s="163" customFormat="1" x14ac:dyDescent="0.3">
      <c r="A150" s="162" t="str">
        <f>IF(C150="","",SUBTOTAL(3,$C$4:C150))</f>
        <v/>
      </c>
      <c r="B150" s="162"/>
      <c r="D150" s="164"/>
      <c r="E150" s="165"/>
      <c r="F150" s="164"/>
      <c r="G150" s="169"/>
      <c r="H150" s="165"/>
      <c r="I150" s="165"/>
      <c r="J150" s="166"/>
      <c r="K150" s="167"/>
      <c r="L150" s="167"/>
    </row>
    <row r="151" spans="1:12" s="163" customFormat="1" x14ac:dyDescent="0.3">
      <c r="A151" s="162" t="str">
        <f>IF(C151="","",SUBTOTAL(3,$C$4:C151))</f>
        <v/>
      </c>
      <c r="B151" s="162"/>
      <c r="D151" s="164"/>
      <c r="E151" s="165"/>
      <c r="F151" s="164"/>
      <c r="G151" s="169"/>
      <c r="H151" s="165"/>
      <c r="I151" s="165"/>
      <c r="J151" s="166"/>
      <c r="K151" s="167"/>
      <c r="L151" s="167"/>
    </row>
    <row r="152" spans="1:12" s="163" customFormat="1" x14ac:dyDescent="0.3">
      <c r="A152" s="162" t="str">
        <f>IF(C152="","",SUBTOTAL(3,$C$4:C152))</f>
        <v/>
      </c>
      <c r="B152" s="162"/>
      <c r="D152" s="164"/>
      <c r="E152" s="165"/>
      <c r="F152" s="164"/>
      <c r="G152" s="169"/>
      <c r="H152" s="165"/>
      <c r="I152" s="165"/>
      <c r="J152" s="166"/>
      <c r="K152" s="167"/>
      <c r="L152" s="167"/>
    </row>
    <row r="153" spans="1:12" s="163" customFormat="1" x14ac:dyDescent="0.3">
      <c r="A153" s="162" t="str">
        <f>IF(C153="","",SUBTOTAL(3,$C$4:C153))</f>
        <v/>
      </c>
      <c r="B153" s="162"/>
      <c r="D153" s="164"/>
      <c r="E153" s="165"/>
      <c r="F153" s="164"/>
      <c r="G153" s="169"/>
      <c r="H153" s="165"/>
      <c r="I153" s="165"/>
      <c r="J153" s="166"/>
      <c r="K153" s="167"/>
      <c r="L153" s="167"/>
    </row>
    <row r="154" spans="1:12" s="163" customFormat="1" x14ac:dyDescent="0.3">
      <c r="A154" s="162" t="str">
        <f>IF(C154="","",SUBTOTAL(3,$C$4:C154))</f>
        <v/>
      </c>
      <c r="B154" s="162"/>
      <c r="D154" s="164"/>
      <c r="E154" s="165"/>
      <c r="F154" s="164"/>
      <c r="G154" s="169"/>
      <c r="H154" s="165"/>
      <c r="I154" s="165"/>
      <c r="J154" s="166"/>
      <c r="K154" s="167"/>
      <c r="L154" s="167"/>
    </row>
    <row r="155" spans="1:12" s="163" customFormat="1" x14ac:dyDescent="0.3">
      <c r="A155" s="162" t="str">
        <f>IF(C155="","",SUBTOTAL(3,$C$4:C155))</f>
        <v/>
      </c>
      <c r="B155" s="162"/>
      <c r="D155" s="164"/>
      <c r="E155" s="165"/>
      <c r="F155" s="164"/>
      <c r="G155" s="169"/>
      <c r="H155" s="165"/>
      <c r="I155" s="165"/>
      <c r="J155" s="166"/>
      <c r="K155" s="167"/>
      <c r="L155" s="167"/>
    </row>
    <row r="156" spans="1:12" s="163" customFormat="1" x14ac:dyDescent="0.3">
      <c r="A156" s="162" t="str">
        <f>IF(C156="","",SUBTOTAL(3,$C$4:C156))</f>
        <v/>
      </c>
      <c r="B156" s="162"/>
      <c r="D156" s="164"/>
      <c r="E156" s="165"/>
      <c r="F156" s="164"/>
      <c r="G156" s="169"/>
      <c r="H156" s="165"/>
      <c r="I156" s="165"/>
      <c r="J156" s="166"/>
      <c r="K156" s="167"/>
      <c r="L156" s="167"/>
    </row>
    <row r="157" spans="1:12" s="163" customFormat="1" x14ac:dyDescent="0.3">
      <c r="A157" s="162" t="str">
        <f>IF(C157="","",SUBTOTAL(3,$C$4:C157))</f>
        <v/>
      </c>
      <c r="B157" s="162"/>
      <c r="D157" s="164"/>
      <c r="E157" s="165"/>
      <c r="F157" s="164"/>
      <c r="G157" s="169"/>
      <c r="H157" s="165"/>
      <c r="I157" s="165"/>
      <c r="J157" s="166"/>
      <c r="K157" s="167"/>
      <c r="L157" s="167"/>
    </row>
    <row r="158" spans="1:12" s="163" customFormat="1" x14ac:dyDescent="0.3">
      <c r="A158" s="162" t="str">
        <f>IF(C158="","",SUBTOTAL(3,$C$4:C158))</f>
        <v/>
      </c>
      <c r="B158" s="162"/>
      <c r="D158" s="164"/>
      <c r="E158" s="165"/>
      <c r="F158" s="164"/>
      <c r="G158" s="169"/>
      <c r="H158" s="165"/>
      <c r="I158" s="165"/>
      <c r="J158" s="166"/>
      <c r="K158" s="167"/>
      <c r="L158" s="167"/>
    </row>
    <row r="159" spans="1:12" s="163" customFormat="1" x14ac:dyDescent="0.3">
      <c r="A159" s="162" t="str">
        <f>IF(C159="","",SUBTOTAL(3,$C$4:C159))</f>
        <v/>
      </c>
      <c r="B159" s="162"/>
      <c r="D159" s="164"/>
      <c r="E159" s="165"/>
      <c r="F159" s="164"/>
      <c r="G159" s="169"/>
      <c r="H159" s="165"/>
      <c r="I159" s="165"/>
      <c r="J159" s="166"/>
      <c r="K159" s="167"/>
      <c r="L159" s="167"/>
    </row>
    <row r="160" spans="1:12" s="163" customFormat="1" x14ac:dyDescent="0.3">
      <c r="A160" s="162" t="str">
        <f>IF(C160="","",SUBTOTAL(3,$C$4:C160))</f>
        <v/>
      </c>
      <c r="B160" s="162"/>
      <c r="D160" s="164"/>
      <c r="E160" s="165"/>
      <c r="F160" s="164"/>
      <c r="G160" s="169"/>
      <c r="H160" s="165"/>
      <c r="I160" s="165"/>
      <c r="J160" s="166"/>
      <c r="K160" s="167"/>
      <c r="L160" s="167"/>
    </row>
    <row r="161" spans="1:12" s="163" customFormat="1" x14ac:dyDescent="0.3">
      <c r="A161" s="162" t="str">
        <f>IF(C161="","",SUBTOTAL(3,$C$4:C161))</f>
        <v/>
      </c>
      <c r="B161" s="162"/>
      <c r="D161" s="164"/>
      <c r="E161" s="165"/>
      <c r="F161" s="164"/>
      <c r="G161" s="169"/>
      <c r="H161" s="165"/>
      <c r="I161" s="165"/>
      <c r="J161" s="166"/>
      <c r="K161" s="167"/>
      <c r="L161" s="167"/>
    </row>
    <row r="162" spans="1:12" s="163" customFormat="1" x14ac:dyDescent="0.3">
      <c r="A162" s="162" t="str">
        <f>IF(C162="","",SUBTOTAL(3,$C$4:C162))</f>
        <v/>
      </c>
      <c r="B162" s="162"/>
      <c r="D162" s="164"/>
      <c r="E162" s="165"/>
      <c r="F162" s="164"/>
      <c r="G162" s="169"/>
      <c r="H162" s="165"/>
      <c r="I162" s="165"/>
      <c r="J162" s="166"/>
      <c r="K162" s="167"/>
      <c r="L162" s="167"/>
    </row>
    <row r="163" spans="1:12" s="163" customFormat="1" x14ac:dyDescent="0.3">
      <c r="A163" s="162" t="str">
        <f>IF(C163="","",SUBTOTAL(3,$C$4:C163))</f>
        <v/>
      </c>
      <c r="B163" s="162"/>
      <c r="D163" s="164"/>
      <c r="E163" s="165"/>
      <c r="F163" s="164"/>
      <c r="G163" s="169"/>
      <c r="H163" s="165"/>
      <c r="I163" s="165"/>
      <c r="J163" s="166"/>
      <c r="K163" s="167"/>
      <c r="L163" s="167"/>
    </row>
    <row r="164" spans="1:12" s="163" customFormat="1" x14ac:dyDescent="0.3">
      <c r="A164" s="162" t="str">
        <f>IF(C164="","",SUBTOTAL(3,$C$4:C164))</f>
        <v/>
      </c>
      <c r="B164" s="162"/>
      <c r="D164" s="164"/>
      <c r="E164" s="165"/>
      <c r="F164" s="164"/>
      <c r="G164" s="169"/>
      <c r="H164" s="165"/>
      <c r="I164" s="165"/>
      <c r="J164" s="166"/>
      <c r="K164" s="167"/>
      <c r="L164" s="167"/>
    </row>
    <row r="165" spans="1:12" s="163" customFormat="1" x14ac:dyDescent="0.3">
      <c r="A165" s="162" t="str">
        <f>IF(C165="","",SUBTOTAL(3,$C$4:C165))</f>
        <v/>
      </c>
      <c r="B165" s="162"/>
      <c r="D165" s="164"/>
      <c r="E165" s="165"/>
      <c r="F165" s="164"/>
      <c r="G165" s="169"/>
      <c r="H165" s="165"/>
      <c r="I165" s="165"/>
      <c r="J165" s="166"/>
      <c r="K165" s="167"/>
      <c r="L165" s="167"/>
    </row>
    <row r="166" spans="1:12" s="163" customFormat="1" x14ac:dyDescent="0.3">
      <c r="A166" s="162" t="str">
        <f>IF(C166="","",SUBTOTAL(3,$C$4:C166))</f>
        <v/>
      </c>
      <c r="B166" s="162"/>
      <c r="D166" s="164"/>
      <c r="E166" s="165"/>
      <c r="F166" s="164"/>
      <c r="G166" s="169"/>
      <c r="H166" s="165"/>
      <c r="I166" s="165"/>
      <c r="J166" s="166"/>
      <c r="K166" s="167"/>
      <c r="L166" s="167"/>
    </row>
    <row r="167" spans="1:12" s="163" customFormat="1" x14ac:dyDescent="0.3">
      <c r="A167" s="162" t="str">
        <f>IF(C167="","",SUBTOTAL(3,$C$4:C167))</f>
        <v/>
      </c>
      <c r="B167" s="162"/>
      <c r="D167" s="164"/>
      <c r="E167" s="165"/>
      <c r="F167" s="164"/>
      <c r="G167" s="169"/>
      <c r="H167" s="165"/>
      <c r="I167" s="165"/>
      <c r="J167" s="166"/>
      <c r="K167" s="167"/>
      <c r="L167" s="167"/>
    </row>
    <row r="168" spans="1:12" s="163" customFormat="1" x14ac:dyDescent="0.3">
      <c r="A168" s="162" t="str">
        <f>IF(C168="","",SUBTOTAL(3,$C$4:C168))</f>
        <v/>
      </c>
      <c r="B168" s="162"/>
      <c r="D168" s="164"/>
      <c r="E168" s="165"/>
      <c r="F168" s="164"/>
      <c r="G168" s="169"/>
      <c r="H168" s="165"/>
      <c r="I168" s="165"/>
      <c r="J168" s="166"/>
      <c r="K168" s="167"/>
      <c r="L168" s="167"/>
    </row>
    <row r="169" spans="1:12" s="163" customFormat="1" x14ac:dyDescent="0.3">
      <c r="A169" s="162" t="str">
        <f>IF(C169="","",SUBTOTAL(3,$C$4:C169))</f>
        <v/>
      </c>
      <c r="B169" s="162"/>
      <c r="D169" s="164"/>
      <c r="E169" s="165"/>
      <c r="F169" s="164"/>
      <c r="G169" s="169"/>
      <c r="H169" s="165"/>
      <c r="I169" s="165"/>
      <c r="J169" s="166"/>
      <c r="K169" s="167"/>
      <c r="L169" s="167"/>
    </row>
    <row r="170" spans="1:12" s="163" customFormat="1" x14ac:dyDescent="0.3">
      <c r="A170" s="162" t="str">
        <f>IF(C170="","",SUBTOTAL(3,$C$4:C170))</f>
        <v/>
      </c>
      <c r="B170" s="162"/>
      <c r="D170" s="164"/>
      <c r="E170" s="165"/>
      <c r="F170" s="164"/>
      <c r="G170" s="169"/>
      <c r="H170" s="165"/>
      <c r="I170" s="165"/>
      <c r="J170" s="166"/>
      <c r="K170" s="167"/>
      <c r="L170" s="167"/>
    </row>
    <row r="171" spans="1:12" s="163" customFormat="1" x14ac:dyDescent="0.3">
      <c r="A171" s="162" t="str">
        <f>IF(C171="","",SUBTOTAL(3,$C$4:C171))</f>
        <v/>
      </c>
      <c r="B171" s="162"/>
      <c r="D171" s="164"/>
      <c r="E171" s="165"/>
      <c r="F171" s="164"/>
      <c r="G171" s="169"/>
      <c r="H171" s="165"/>
      <c r="I171" s="165"/>
      <c r="J171" s="166"/>
      <c r="K171" s="167"/>
      <c r="L171" s="167"/>
    </row>
    <row r="172" spans="1:12" s="163" customFormat="1" x14ac:dyDescent="0.3">
      <c r="A172" s="162" t="str">
        <f>IF(C172="","",SUBTOTAL(3,$C$4:C172))</f>
        <v/>
      </c>
      <c r="B172" s="162"/>
      <c r="D172" s="164"/>
      <c r="E172" s="165"/>
      <c r="F172" s="164"/>
      <c r="G172" s="169"/>
      <c r="H172" s="165"/>
      <c r="I172" s="165"/>
      <c r="J172" s="166"/>
      <c r="K172" s="167"/>
      <c r="L172" s="167"/>
    </row>
    <row r="173" spans="1:12" s="163" customFormat="1" x14ac:dyDescent="0.3">
      <c r="A173" s="162" t="str">
        <f>IF(C173="","",SUBTOTAL(3,$C$4:C173))</f>
        <v/>
      </c>
      <c r="B173" s="162"/>
      <c r="D173" s="164"/>
      <c r="E173" s="165"/>
      <c r="F173" s="164"/>
      <c r="G173" s="169"/>
      <c r="H173" s="165"/>
      <c r="I173" s="165"/>
      <c r="J173" s="166"/>
      <c r="K173" s="167"/>
      <c r="L173" s="167"/>
    </row>
    <row r="174" spans="1:12" s="163" customFormat="1" x14ac:dyDescent="0.3">
      <c r="A174" s="162" t="str">
        <f>IF(C174="","",SUBTOTAL(3,$C$4:C174))</f>
        <v/>
      </c>
      <c r="B174" s="162"/>
      <c r="D174" s="164"/>
      <c r="E174" s="165"/>
      <c r="F174" s="164"/>
      <c r="G174" s="169"/>
      <c r="H174" s="165"/>
      <c r="I174" s="165"/>
      <c r="J174" s="166"/>
      <c r="K174" s="167"/>
      <c r="L174" s="167"/>
    </row>
    <row r="175" spans="1:12" s="163" customFormat="1" x14ac:dyDescent="0.3">
      <c r="A175" s="162" t="str">
        <f>IF(C175="","",SUBTOTAL(3,$C$4:C175))</f>
        <v/>
      </c>
      <c r="B175" s="162"/>
      <c r="D175" s="164"/>
      <c r="E175" s="165"/>
      <c r="F175" s="164"/>
      <c r="G175" s="169"/>
      <c r="H175" s="165"/>
      <c r="I175" s="165"/>
      <c r="J175" s="166"/>
      <c r="K175" s="167"/>
      <c r="L175" s="167"/>
    </row>
    <row r="176" spans="1:12" s="163" customFormat="1" x14ac:dyDescent="0.3">
      <c r="A176" s="162" t="str">
        <f>IF(C176="","",SUBTOTAL(3,$C$4:C176))</f>
        <v/>
      </c>
      <c r="B176" s="162"/>
      <c r="D176" s="164"/>
      <c r="E176" s="165"/>
      <c r="F176" s="164"/>
      <c r="G176" s="169"/>
      <c r="H176" s="165"/>
      <c r="I176" s="165"/>
      <c r="J176" s="166"/>
      <c r="K176" s="167"/>
      <c r="L176" s="167"/>
    </row>
    <row r="177" spans="1:12" s="163" customFormat="1" x14ac:dyDescent="0.3">
      <c r="A177" s="162" t="str">
        <f>IF(C177="","",SUBTOTAL(3,$C$4:C177))</f>
        <v/>
      </c>
      <c r="B177" s="162"/>
      <c r="D177" s="164"/>
      <c r="E177" s="165"/>
      <c r="F177" s="164"/>
      <c r="G177" s="169"/>
      <c r="H177" s="165"/>
      <c r="I177" s="165"/>
      <c r="J177" s="166"/>
      <c r="K177" s="167"/>
      <c r="L177" s="167"/>
    </row>
    <row r="178" spans="1:12" s="163" customFormat="1" x14ac:dyDescent="0.3">
      <c r="A178" s="162" t="str">
        <f>IF(C178="","",SUBTOTAL(3,$C$4:C178))</f>
        <v/>
      </c>
      <c r="B178" s="162"/>
      <c r="D178" s="164"/>
      <c r="E178" s="165"/>
      <c r="F178" s="164"/>
      <c r="G178" s="169"/>
      <c r="H178" s="165"/>
      <c r="I178" s="165"/>
      <c r="J178" s="166"/>
      <c r="K178" s="167"/>
      <c r="L178" s="167"/>
    </row>
    <row r="179" spans="1:12" s="163" customFormat="1" x14ac:dyDescent="0.3">
      <c r="A179" s="162" t="str">
        <f>IF(C179="","",SUBTOTAL(3,$C$4:C179))</f>
        <v/>
      </c>
      <c r="B179" s="162"/>
      <c r="D179" s="164"/>
      <c r="E179" s="165"/>
      <c r="F179" s="164"/>
      <c r="G179" s="169"/>
      <c r="H179" s="165"/>
      <c r="I179" s="165"/>
      <c r="J179" s="166"/>
      <c r="K179" s="167"/>
      <c r="L179" s="167"/>
    </row>
    <row r="180" spans="1:12" s="163" customFormat="1" x14ac:dyDescent="0.3">
      <c r="A180" s="162" t="str">
        <f>IF(C180="","",SUBTOTAL(3,$C$4:C180))</f>
        <v/>
      </c>
      <c r="B180" s="162"/>
      <c r="D180" s="164"/>
      <c r="E180" s="165"/>
      <c r="F180" s="164"/>
      <c r="G180" s="169"/>
      <c r="H180" s="165"/>
      <c r="I180" s="165"/>
      <c r="J180" s="166"/>
      <c r="K180" s="167"/>
      <c r="L180" s="167"/>
    </row>
    <row r="181" spans="1:12" s="163" customFormat="1" x14ac:dyDescent="0.3">
      <c r="A181" s="162" t="str">
        <f>IF(C181="","",SUBTOTAL(3,$C$4:C181))</f>
        <v/>
      </c>
      <c r="B181" s="162"/>
      <c r="D181" s="164"/>
      <c r="E181" s="165"/>
      <c r="F181" s="164"/>
      <c r="G181" s="169"/>
      <c r="H181" s="165"/>
      <c r="I181" s="165"/>
      <c r="J181" s="166"/>
      <c r="K181" s="167"/>
      <c r="L181" s="167"/>
    </row>
    <row r="182" spans="1:12" s="163" customFormat="1" x14ac:dyDescent="0.3">
      <c r="A182" s="162" t="str">
        <f>IF(C182="","",SUBTOTAL(3,$C$4:C182))</f>
        <v/>
      </c>
      <c r="B182" s="162"/>
      <c r="D182" s="164"/>
      <c r="E182" s="165"/>
      <c r="F182" s="164"/>
      <c r="G182" s="169"/>
      <c r="H182" s="165"/>
      <c r="I182" s="165"/>
      <c r="J182" s="166"/>
      <c r="K182" s="167"/>
      <c r="L182" s="167"/>
    </row>
    <row r="183" spans="1:12" s="163" customFormat="1" x14ac:dyDescent="0.3">
      <c r="A183" s="162" t="str">
        <f>IF(C183="","",SUBTOTAL(3,$C$4:C183))</f>
        <v/>
      </c>
      <c r="B183" s="162"/>
      <c r="D183" s="164"/>
      <c r="E183" s="165"/>
      <c r="F183" s="164"/>
      <c r="G183" s="169"/>
      <c r="H183" s="165"/>
      <c r="I183" s="165"/>
      <c r="J183" s="166"/>
      <c r="K183" s="167"/>
      <c r="L183" s="167"/>
    </row>
    <row r="184" spans="1:12" s="163" customFormat="1" x14ac:dyDescent="0.3">
      <c r="A184" s="162" t="str">
        <f>IF(C184="","",SUBTOTAL(3,$C$4:C184))</f>
        <v/>
      </c>
      <c r="B184" s="162"/>
      <c r="D184" s="164"/>
      <c r="E184" s="165"/>
      <c r="F184" s="164"/>
      <c r="G184" s="169"/>
      <c r="H184" s="165"/>
      <c r="I184" s="165"/>
      <c r="J184" s="166"/>
      <c r="K184" s="167"/>
      <c r="L184" s="167"/>
    </row>
    <row r="185" spans="1:12" s="163" customFormat="1" x14ac:dyDescent="0.3">
      <c r="A185" s="162" t="str">
        <f>IF(C185="","",SUBTOTAL(3,$C$4:C185))</f>
        <v/>
      </c>
      <c r="B185" s="162"/>
      <c r="D185" s="164"/>
      <c r="E185" s="165"/>
      <c r="F185" s="164"/>
      <c r="G185" s="169"/>
      <c r="H185" s="165"/>
      <c r="I185" s="165"/>
      <c r="J185" s="166"/>
      <c r="K185" s="167"/>
      <c r="L185" s="167"/>
    </row>
    <row r="186" spans="1:12" s="163" customFormat="1" x14ac:dyDescent="0.3">
      <c r="A186" s="162" t="str">
        <f>IF(C186="","",SUBTOTAL(3,$C$4:C186))</f>
        <v/>
      </c>
      <c r="B186" s="162"/>
      <c r="D186" s="164"/>
      <c r="E186" s="165"/>
      <c r="F186" s="164"/>
      <c r="G186" s="169"/>
      <c r="H186" s="165"/>
      <c r="I186" s="165"/>
      <c r="J186" s="166"/>
      <c r="K186" s="167"/>
      <c r="L186" s="167"/>
    </row>
    <row r="187" spans="1:12" s="163" customFormat="1" x14ac:dyDescent="0.3">
      <c r="A187" s="162" t="str">
        <f>IF(C187="","",SUBTOTAL(3,$C$4:C187))</f>
        <v/>
      </c>
      <c r="B187" s="162"/>
      <c r="D187" s="164"/>
      <c r="E187" s="165"/>
      <c r="F187" s="164"/>
      <c r="G187" s="169"/>
      <c r="H187" s="165"/>
      <c r="I187" s="165"/>
      <c r="J187" s="166"/>
      <c r="K187" s="167"/>
      <c r="L187" s="167"/>
    </row>
    <row r="188" spans="1:12" s="163" customFormat="1" x14ac:dyDescent="0.3">
      <c r="A188" s="162" t="str">
        <f>IF(C188="","",SUBTOTAL(3,$C$4:C188))</f>
        <v/>
      </c>
      <c r="B188" s="162"/>
      <c r="D188" s="164"/>
      <c r="E188" s="165"/>
      <c r="F188" s="164"/>
      <c r="G188" s="169"/>
      <c r="H188" s="165"/>
      <c r="I188" s="165"/>
      <c r="J188" s="166"/>
      <c r="K188" s="167"/>
      <c r="L188" s="167"/>
    </row>
    <row r="189" spans="1:12" s="163" customFormat="1" x14ac:dyDescent="0.3">
      <c r="A189" s="162" t="str">
        <f>IF(C189="","",SUBTOTAL(3,$C$4:C189))</f>
        <v/>
      </c>
      <c r="B189" s="162"/>
      <c r="D189" s="164"/>
      <c r="E189" s="165"/>
      <c r="F189" s="164"/>
      <c r="G189" s="169"/>
      <c r="H189" s="165"/>
      <c r="I189" s="165"/>
      <c r="J189" s="166"/>
      <c r="K189" s="167"/>
      <c r="L189" s="167"/>
    </row>
    <row r="190" spans="1:12" s="163" customFormat="1" x14ac:dyDescent="0.3">
      <c r="A190" s="162" t="str">
        <f>IF(C190="","",SUBTOTAL(3,$C$4:C190))</f>
        <v/>
      </c>
      <c r="B190" s="162"/>
      <c r="D190" s="164"/>
      <c r="E190" s="165"/>
      <c r="F190" s="164"/>
      <c r="G190" s="169"/>
      <c r="H190" s="165"/>
      <c r="I190" s="165"/>
      <c r="J190" s="166"/>
      <c r="K190" s="167"/>
      <c r="L190" s="167"/>
    </row>
    <row r="191" spans="1:12" s="163" customFormat="1" x14ac:dyDescent="0.3">
      <c r="A191" s="162" t="str">
        <f>IF(C191="","",SUBTOTAL(3,$C$4:C191))</f>
        <v/>
      </c>
      <c r="B191" s="162"/>
      <c r="D191" s="164"/>
      <c r="E191" s="165"/>
      <c r="F191" s="164"/>
      <c r="G191" s="169"/>
      <c r="H191" s="165"/>
      <c r="I191" s="165"/>
      <c r="J191" s="166"/>
      <c r="K191" s="167"/>
      <c r="L191" s="167"/>
    </row>
    <row r="192" spans="1:12" s="163" customFormat="1" x14ac:dyDescent="0.3">
      <c r="A192" s="162" t="str">
        <f>IF(C192="","",SUBTOTAL(3,$C$4:C192))</f>
        <v/>
      </c>
      <c r="B192" s="162"/>
      <c r="D192" s="164"/>
      <c r="E192" s="165"/>
      <c r="F192" s="164"/>
      <c r="G192" s="169"/>
      <c r="H192" s="165"/>
      <c r="I192" s="165"/>
      <c r="J192" s="166"/>
      <c r="K192" s="167"/>
      <c r="L192" s="167"/>
    </row>
    <row r="193" spans="1:12" s="163" customFormat="1" x14ac:dyDescent="0.3">
      <c r="A193" s="162" t="str">
        <f>IF(C193="","",SUBTOTAL(3,$C$4:C193))</f>
        <v/>
      </c>
      <c r="B193" s="162"/>
      <c r="D193" s="164"/>
      <c r="E193" s="165"/>
      <c r="F193" s="164"/>
      <c r="G193" s="169"/>
      <c r="H193" s="165"/>
      <c r="I193" s="165"/>
      <c r="J193" s="166"/>
      <c r="K193" s="167"/>
      <c r="L193" s="167"/>
    </row>
    <row r="194" spans="1:12" s="163" customFormat="1" x14ac:dyDescent="0.3">
      <c r="A194" s="162" t="str">
        <f>IF(C194="","",SUBTOTAL(3,$C$4:C194))</f>
        <v/>
      </c>
      <c r="B194" s="162"/>
      <c r="D194" s="164"/>
      <c r="E194" s="165"/>
      <c r="F194" s="164"/>
      <c r="G194" s="169"/>
      <c r="H194" s="165"/>
      <c r="I194" s="165"/>
      <c r="J194" s="166"/>
      <c r="K194" s="167"/>
      <c r="L194" s="167"/>
    </row>
    <row r="195" spans="1:12" s="163" customFormat="1" x14ac:dyDescent="0.3">
      <c r="A195" s="162" t="str">
        <f>IF(C195="","",SUBTOTAL(3,$C$4:C195))</f>
        <v/>
      </c>
      <c r="B195" s="162"/>
      <c r="D195" s="164"/>
      <c r="E195" s="165"/>
      <c r="F195" s="164"/>
      <c r="G195" s="169"/>
      <c r="H195" s="165"/>
      <c r="I195" s="165"/>
      <c r="J195" s="166"/>
      <c r="K195" s="167"/>
      <c r="L195" s="167"/>
    </row>
    <row r="196" spans="1:12" s="163" customFormat="1" x14ac:dyDescent="0.3">
      <c r="A196" s="162" t="str">
        <f>IF(C196="","",SUBTOTAL(3,$C$4:C196))</f>
        <v/>
      </c>
      <c r="B196" s="162"/>
      <c r="D196" s="164"/>
      <c r="E196" s="165"/>
      <c r="F196" s="164"/>
      <c r="G196" s="169"/>
      <c r="H196" s="165"/>
      <c r="I196" s="165"/>
      <c r="J196" s="166"/>
      <c r="K196" s="167"/>
      <c r="L196" s="167"/>
    </row>
    <row r="197" spans="1:12" s="163" customFormat="1" x14ac:dyDescent="0.3">
      <c r="A197" s="162" t="str">
        <f>IF(C197="","",SUBTOTAL(3,$C$4:C197))</f>
        <v/>
      </c>
      <c r="B197" s="162"/>
      <c r="D197" s="164"/>
      <c r="E197" s="165"/>
      <c r="F197" s="164"/>
      <c r="G197" s="169"/>
      <c r="H197" s="165"/>
      <c r="I197" s="165"/>
      <c r="J197" s="166"/>
      <c r="K197" s="167"/>
      <c r="L197" s="167"/>
    </row>
    <row r="198" spans="1:12" s="163" customFormat="1" x14ac:dyDescent="0.3">
      <c r="A198" s="162" t="str">
        <f>IF(C198="","",SUBTOTAL(3,$C$4:C198))</f>
        <v/>
      </c>
      <c r="B198" s="162"/>
      <c r="D198" s="164"/>
      <c r="E198" s="165"/>
      <c r="F198" s="164"/>
      <c r="G198" s="169"/>
      <c r="H198" s="165"/>
      <c r="I198" s="165"/>
      <c r="J198" s="166"/>
      <c r="K198" s="167"/>
      <c r="L198" s="167"/>
    </row>
    <row r="199" spans="1:12" s="163" customFormat="1" x14ac:dyDescent="0.3">
      <c r="A199" s="162" t="str">
        <f>IF(C199="","",SUBTOTAL(3,$C$4:C199))</f>
        <v/>
      </c>
      <c r="B199" s="162"/>
      <c r="D199" s="164"/>
      <c r="E199" s="165"/>
      <c r="F199" s="164"/>
      <c r="G199" s="169"/>
      <c r="H199" s="165"/>
      <c r="I199" s="165"/>
      <c r="J199" s="166"/>
      <c r="K199" s="167"/>
      <c r="L199" s="167"/>
    </row>
    <row r="200" spans="1:12" s="163" customFormat="1" x14ac:dyDescent="0.3">
      <c r="A200" s="162" t="str">
        <f>IF(C200="","",SUBTOTAL(3,$C$4:C200))</f>
        <v/>
      </c>
      <c r="B200" s="162"/>
      <c r="D200" s="164"/>
      <c r="E200" s="165"/>
      <c r="F200" s="164"/>
      <c r="G200" s="169"/>
      <c r="H200" s="165"/>
      <c r="I200" s="165"/>
      <c r="J200" s="166"/>
      <c r="K200" s="167"/>
      <c r="L200" s="167"/>
    </row>
    <row r="201" spans="1:12" s="163" customFormat="1" x14ac:dyDescent="0.3">
      <c r="A201" s="162" t="str">
        <f>IF(C201="","",SUBTOTAL(3,$C$4:C201))</f>
        <v/>
      </c>
      <c r="B201" s="162"/>
      <c r="D201" s="164"/>
      <c r="E201" s="165"/>
      <c r="F201" s="164"/>
      <c r="G201" s="169"/>
      <c r="H201" s="165"/>
      <c r="I201" s="165"/>
      <c r="J201" s="166"/>
      <c r="K201" s="167"/>
      <c r="L201" s="167"/>
    </row>
    <row r="202" spans="1:12" s="163" customFormat="1" x14ac:dyDescent="0.3">
      <c r="A202" s="162" t="str">
        <f>IF(C202="","",SUBTOTAL(3,$C$4:C202))</f>
        <v/>
      </c>
      <c r="B202" s="162"/>
      <c r="D202" s="164"/>
      <c r="E202" s="165"/>
      <c r="F202" s="164"/>
      <c r="G202" s="169"/>
      <c r="H202" s="165"/>
      <c r="I202" s="165"/>
      <c r="J202" s="166"/>
      <c r="K202" s="167"/>
      <c r="L202" s="167"/>
    </row>
    <row r="203" spans="1:12" s="163" customFormat="1" x14ac:dyDescent="0.3">
      <c r="A203" s="162" t="str">
        <f>IF(C203="","",SUBTOTAL(3,$C$4:C203))</f>
        <v/>
      </c>
      <c r="B203" s="162"/>
      <c r="D203" s="164"/>
      <c r="E203" s="165"/>
      <c r="F203" s="164"/>
      <c r="G203" s="169"/>
      <c r="H203" s="165"/>
      <c r="I203" s="165"/>
      <c r="J203" s="166"/>
      <c r="K203" s="167"/>
      <c r="L203" s="167"/>
    </row>
    <row r="204" spans="1:12" s="163" customFormat="1" x14ac:dyDescent="0.3">
      <c r="A204" s="162" t="str">
        <f>IF(C204="","",SUBTOTAL(3,$C$4:C204))</f>
        <v/>
      </c>
      <c r="B204" s="162"/>
      <c r="D204" s="164"/>
      <c r="E204" s="165"/>
      <c r="F204" s="164"/>
      <c r="G204" s="169"/>
      <c r="H204" s="165"/>
      <c r="I204" s="165"/>
      <c r="J204" s="166"/>
      <c r="K204" s="167"/>
      <c r="L204" s="167"/>
    </row>
    <row r="205" spans="1:12" s="163" customFormat="1" x14ac:dyDescent="0.3">
      <c r="A205" s="162" t="str">
        <f>IF(C205="","",SUBTOTAL(3,$C$4:C205))</f>
        <v/>
      </c>
      <c r="B205" s="162"/>
      <c r="D205" s="164"/>
      <c r="E205" s="165"/>
      <c r="F205" s="164"/>
      <c r="G205" s="169"/>
      <c r="H205" s="165"/>
      <c r="I205" s="165"/>
      <c r="J205" s="166"/>
      <c r="K205" s="167"/>
      <c r="L205" s="167"/>
    </row>
    <row r="206" spans="1:12" s="163" customFormat="1" x14ac:dyDescent="0.3">
      <c r="A206" s="162" t="str">
        <f>IF(C206="","",SUBTOTAL(3,$C$4:C206))</f>
        <v/>
      </c>
      <c r="B206" s="162"/>
      <c r="D206" s="164"/>
      <c r="E206" s="165"/>
      <c r="F206" s="164"/>
      <c r="G206" s="169"/>
      <c r="H206" s="165"/>
      <c r="I206" s="165"/>
      <c r="J206" s="166"/>
      <c r="K206" s="167"/>
      <c r="L206" s="167"/>
    </row>
    <row r="207" spans="1:12" s="163" customFormat="1" x14ac:dyDescent="0.3">
      <c r="A207" s="162" t="str">
        <f>IF(C207="","",SUBTOTAL(3,$C$4:C207))</f>
        <v/>
      </c>
      <c r="B207" s="162"/>
      <c r="D207" s="164"/>
      <c r="E207" s="165"/>
      <c r="F207" s="164"/>
      <c r="G207" s="169"/>
      <c r="H207" s="165"/>
      <c r="I207" s="165"/>
      <c r="J207" s="166"/>
      <c r="K207" s="167"/>
      <c r="L207" s="167"/>
    </row>
    <row r="208" spans="1:12" s="163" customFormat="1" x14ac:dyDescent="0.3">
      <c r="A208" s="162" t="str">
        <f>IF(C208="","",SUBTOTAL(3,$C$4:C208))</f>
        <v/>
      </c>
      <c r="B208" s="162"/>
      <c r="D208" s="164"/>
      <c r="E208" s="165"/>
      <c r="F208" s="164"/>
      <c r="G208" s="169"/>
      <c r="H208" s="165"/>
      <c r="I208" s="165"/>
      <c r="J208" s="166"/>
      <c r="K208" s="167"/>
      <c r="L208" s="167"/>
    </row>
    <row r="209" spans="1:12" s="163" customFormat="1" x14ac:dyDescent="0.3">
      <c r="A209" s="162" t="str">
        <f>IF(C209="","",SUBTOTAL(3,$C$4:C209))</f>
        <v/>
      </c>
      <c r="B209" s="162"/>
      <c r="D209" s="164"/>
      <c r="E209" s="165"/>
      <c r="F209" s="164"/>
      <c r="G209" s="169"/>
      <c r="H209" s="165"/>
      <c r="I209" s="165"/>
      <c r="J209" s="166"/>
      <c r="K209" s="167"/>
      <c r="L209" s="167"/>
    </row>
    <row r="210" spans="1:12" s="163" customFormat="1" x14ac:dyDescent="0.3">
      <c r="A210" s="162" t="str">
        <f>IF(C210="","",SUBTOTAL(3,$C$4:C210))</f>
        <v/>
      </c>
      <c r="B210" s="162"/>
      <c r="D210" s="164"/>
      <c r="E210" s="165"/>
      <c r="F210" s="164"/>
      <c r="G210" s="169"/>
      <c r="H210" s="165"/>
      <c r="I210" s="165"/>
      <c r="J210" s="166"/>
      <c r="K210" s="167"/>
      <c r="L210" s="167"/>
    </row>
    <row r="211" spans="1:12" s="163" customFormat="1" x14ac:dyDescent="0.3">
      <c r="A211" s="162" t="str">
        <f>IF(C211="","",SUBTOTAL(3,$C$4:C211))</f>
        <v/>
      </c>
      <c r="B211" s="162"/>
      <c r="D211" s="164"/>
      <c r="E211" s="165"/>
      <c r="F211" s="164"/>
      <c r="G211" s="169"/>
      <c r="H211" s="165"/>
      <c r="I211" s="165"/>
      <c r="J211" s="166"/>
      <c r="K211" s="167"/>
      <c r="L211" s="167"/>
    </row>
    <row r="212" spans="1:12" s="163" customFormat="1" x14ac:dyDescent="0.3">
      <c r="A212" s="162" t="str">
        <f>IF(C212="","",SUBTOTAL(3,$C$4:C212))</f>
        <v/>
      </c>
      <c r="B212" s="162"/>
      <c r="D212" s="164"/>
      <c r="E212" s="165"/>
      <c r="F212" s="164"/>
      <c r="G212" s="169"/>
      <c r="H212" s="165"/>
      <c r="I212" s="165"/>
      <c r="J212" s="166"/>
      <c r="K212" s="167"/>
      <c r="L212" s="167"/>
    </row>
    <row r="213" spans="1:12" s="163" customFormat="1" x14ac:dyDescent="0.3">
      <c r="A213" s="162" t="str">
        <f>IF(C213="","",SUBTOTAL(3,$C$4:C213))</f>
        <v/>
      </c>
      <c r="B213" s="162"/>
      <c r="D213" s="164"/>
      <c r="E213" s="165"/>
      <c r="F213" s="164"/>
      <c r="G213" s="169"/>
      <c r="H213" s="165"/>
      <c r="I213" s="165"/>
      <c r="J213" s="166"/>
      <c r="K213" s="167"/>
      <c r="L213" s="167"/>
    </row>
    <row r="214" spans="1:12" s="163" customFormat="1" x14ac:dyDescent="0.3">
      <c r="A214" s="162" t="str">
        <f>IF(C214="","",SUBTOTAL(3,$C$4:C214))</f>
        <v/>
      </c>
      <c r="B214" s="162"/>
      <c r="D214" s="164"/>
      <c r="E214" s="165"/>
      <c r="F214" s="164"/>
      <c r="G214" s="169"/>
      <c r="H214" s="165"/>
      <c r="I214" s="165"/>
      <c r="J214" s="166"/>
      <c r="K214" s="167"/>
      <c r="L214" s="167"/>
    </row>
    <row r="215" spans="1:12" s="163" customFormat="1" x14ac:dyDescent="0.3">
      <c r="A215" s="162" t="str">
        <f>IF(C215="","",SUBTOTAL(3,$C$4:C215))</f>
        <v/>
      </c>
      <c r="B215" s="162"/>
      <c r="D215" s="164"/>
      <c r="E215" s="165"/>
      <c r="F215" s="164"/>
      <c r="G215" s="169"/>
      <c r="H215" s="165"/>
      <c r="I215" s="165"/>
      <c r="J215" s="166"/>
      <c r="K215" s="167"/>
      <c r="L215" s="167"/>
    </row>
    <row r="216" spans="1:12" s="163" customFormat="1" x14ac:dyDescent="0.3">
      <c r="A216" s="162" t="str">
        <f>IF(C216="","",SUBTOTAL(3,$C$4:C216))</f>
        <v/>
      </c>
      <c r="B216" s="162"/>
      <c r="D216" s="164"/>
      <c r="E216" s="165"/>
      <c r="F216" s="164"/>
      <c r="G216" s="169"/>
      <c r="H216" s="165"/>
      <c r="I216" s="165"/>
      <c r="J216" s="166"/>
      <c r="K216" s="167"/>
      <c r="L216" s="167"/>
    </row>
    <row r="217" spans="1:12" s="163" customFormat="1" x14ac:dyDescent="0.3">
      <c r="A217" s="162" t="str">
        <f>IF(C217="","",SUBTOTAL(3,$C$4:C217))</f>
        <v/>
      </c>
      <c r="B217" s="162"/>
      <c r="D217" s="164"/>
      <c r="E217" s="165"/>
      <c r="F217" s="164"/>
      <c r="G217" s="169"/>
      <c r="H217" s="165"/>
      <c r="I217" s="165"/>
      <c r="J217" s="166"/>
      <c r="K217" s="167"/>
      <c r="L217" s="167"/>
    </row>
    <row r="218" spans="1:12" s="163" customFormat="1" x14ac:dyDescent="0.3">
      <c r="A218" s="162" t="str">
        <f>IF(C218="","",SUBTOTAL(3,$C$4:C218))</f>
        <v/>
      </c>
      <c r="B218" s="162"/>
      <c r="D218" s="164"/>
      <c r="E218" s="165"/>
      <c r="F218" s="164"/>
      <c r="G218" s="169"/>
      <c r="H218" s="165"/>
      <c r="I218" s="165"/>
      <c r="J218" s="166"/>
      <c r="K218" s="167"/>
      <c r="L218" s="167"/>
    </row>
    <row r="219" spans="1:12" s="163" customFormat="1" x14ac:dyDescent="0.3">
      <c r="A219" s="162" t="str">
        <f>IF(C219="","",SUBTOTAL(3,$C$4:C219))</f>
        <v/>
      </c>
      <c r="B219" s="162"/>
      <c r="D219" s="164"/>
      <c r="E219" s="165"/>
      <c r="F219" s="164"/>
      <c r="G219" s="169"/>
      <c r="H219" s="165"/>
      <c r="I219" s="165"/>
      <c r="J219" s="166"/>
      <c r="K219" s="167"/>
      <c r="L219" s="167"/>
    </row>
    <row r="220" spans="1:12" s="163" customFormat="1" x14ac:dyDescent="0.3">
      <c r="A220" s="162" t="str">
        <f>IF(C220="","",SUBTOTAL(3,$C$4:C220))</f>
        <v/>
      </c>
      <c r="B220" s="162"/>
      <c r="D220" s="164"/>
      <c r="E220" s="165"/>
      <c r="F220" s="164"/>
      <c r="G220" s="169"/>
      <c r="H220" s="165"/>
      <c r="I220" s="165"/>
      <c r="J220" s="166"/>
      <c r="K220" s="167"/>
      <c r="L220" s="167"/>
    </row>
    <row r="221" spans="1:12" s="163" customFormat="1" x14ac:dyDescent="0.3">
      <c r="A221" s="162" t="str">
        <f>IF(C221="","",SUBTOTAL(3,$C$4:C221))</f>
        <v/>
      </c>
      <c r="B221" s="162"/>
      <c r="D221" s="164"/>
      <c r="E221" s="165"/>
      <c r="F221" s="164"/>
      <c r="G221" s="169"/>
      <c r="H221" s="165"/>
      <c r="I221" s="165"/>
      <c r="J221" s="166"/>
      <c r="K221" s="167"/>
      <c r="L221" s="167"/>
    </row>
    <row r="222" spans="1:12" s="163" customFormat="1" x14ac:dyDescent="0.3">
      <c r="A222" s="162" t="str">
        <f>IF(C222="","",SUBTOTAL(3,$C$4:C222))</f>
        <v/>
      </c>
      <c r="B222" s="162"/>
      <c r="D222" s="164"/>
      <c r="E222" s="165"/>
      <c r="F222" s="164"/>
      <c r="G222" s="169"/>
      <c r="H222" s="165"/>
      <c r="I222" s="165"/>
      <c r="J222" s="166"/>
      <c r="K222" s="167"/>
      <c r="L222" s="167"/>
    </row>
    <row r="223" spans="1:12" s="163" customFormat="1" x14ac:dyDescent="0.3">
      <c r="A223" s="162" t="str">
        <f>IF(C223="","",SUBTOTAL(3,$C$4:C223))</f>
        <v/>
      </c>
      <c r="B223" s="162"/>
      <c r="D223" s="164"/>
      <c r="E223" s="165"/>
      <c r="F223" s="164"/>
      <c r="G223" s="169"/>
      <c r="H223" s="165"/>
      <c r="I223" s="165"/>
      <c r="J223" s="166"/>
      <c r="K223" s="167"/>
      <c r="L223" s="167"/>
    </row>
    <row r="224" spans="1:12" s="163" customFormat="1" x14ac:dyDescent="0.3">
      <c r="A224" s="162" t="str">
        <f>IF(C224="","",SUBTOTAL(3,$C$4:C224))</f>
        <v/>
      </c>
      <c r="B224" s="162"/>
      <c r="D224" s="164"/>
      <c r="E224" s="165"/>
      <c r="F224" s="164"/>
      <c r="G224" s="169"/>
      <c r="H224" s="165"/>
      <c r="I224" s="165"/>
      <c r="J224" s="166"/>
      <c r="K224" s="167"/>
      <c r="L224" s="167"/>
    </row>
    <row r="225" spans="1:12" s="163" customFormat="1" x14ac:dyDescent="0.3">
      <c r="A225" s="162" t="str">
        <f>IF(C225="","",SUBTOTAL(3,$C$4:C225))</f>
        <v/>
      </c>
      <c r="B225" s="162"/>
      <c r="D225" s="164"/>
      <c r="E225" s="165"/>
      <c r="F225" s="164"/>
      <c r="G225" s="169"/>
      <c r="H225" s="165"/>
      <c r="I225" s="165"/>
      <c r="J225" s="166"/>
      <c r="K225" s="167"/>
      <c r="L225" s="167"/>
    </row>
    <row r="226" spans="1:12" s="163" customFormat="1" x14ac:dyDescent="0.3">
      <c r="A226" s="162" t="str">
        <f>IF(C226="","",SUBTOTAL(3,$C$4:C226))</f>
        <v/>
      </c>
      <c r="B226" s="162"/>
      <c r="D226" s="164"/>
      <c r="E226" s="165"/>
      <c r="F226" s="164"/>
      <c r="G226" s="169"/>
      <c r="H226" s="165"/>
      <c r="I226" s="165"/>
      <c r="J226" s="166"/>
      <c r="K226" s="167"/>
      <c r="L226" s="167"/>
    </row>
    <row r="227" spans="1:12" s="163" customFormat="1" x14ac:dyDescent="0.3">
      <c r="A227" s="162" t="str">
        <f>IF(C227="","",SUBTOTAL(3,$C$4:C227))</f>
        <v/>
      </c>
      <c r="B227" s="162"/>
      <c r="D227" s="164"/>
      <c r="E227" s="165"/>
      <c r="F227" s="164"/>
      <c r="G227" s="169"/>
      <c r="H227" s="165"/>
      <c r="I227" s="165"/>
      <c r="J227" s="166"/>
      <c r="K227" s="167"/>
      <c r="L227" s="167"/>
    </row>
    <row r="228" spans="1:12" s="163" customFormat="1" x14ac:dyDescent="0.3">
      <c r="A228" s="162" t="str">
        <f>IF(C228="","",SUBTOTAL(3,$C$4:C228))</f>
        <v/>
      </c>
      <c r="B228" s="162"/>
      <c r="D228" s="164"/>
      <c r="E228" s="165"/>
      <c r="F228" s="164"/>
      <c r="G228" s="169"/>
      <c r="H228" s="165"/>
      <c r="I228" s="165"/>
      <c r="J228" s="166"/>
      <c r="K228" s="167"/>
      <c r="L228" s="167"/>
    </row>
    <row r="229" spans="1:12" s="163" customFormat="1" x14ac:dyDescent="0.3">
      <c r="A229" s="162" t="str">
        <f>IF(C229="","",SUBTOTAL(3,$C$4:C229))</f>
        <v/>
      </c>
      <c r="B229" s="162"/>
      <c r="D229" s="164"/>
      <c r="E229" s="165"/>
      <c r="F229" s="164"/>
      <c r="G229" s="169"/>
      <c r="H229" s="165"/>
      <c r="I229" s="165"/>
      <c r="J229" s="166"/>
      <c r="K229" s="167"/>
      <c r="L229" s="167"/>
    </row>
    <row r="230" spans="1:12" s="163" customFormat="1" x14ac:dyDescent="0.3">
      <c r="A230" s="162" t="str">
        <f>IF(C230="","",SUBTOTAL(3,$C$4:C230))</f>
        <v/>
      </c>
      <c r="B230" s="162"/>
      <c r="D230" s="164"/>
      <c r="E230" s="165"/>
      <c r="F230" s="164"/>
      <c r="G230" s="169"/>
      <c r="H230" s="165"/>
      <c r="I230" s="165"/>
      <c r="J230" s="166"/>
      <c r="K230" s="167"/>
      <c r="L230" s="167"/>
    </row>
    <row r="231" spans="1:12" s="163" customFormat="1" x14ac:dyDescent="0.3">
      <c r="A231" s="162" t="str">
        <f>IF(C231="","",SUBTOTAL(3,$C$4:C231))</f>
        <v/>
      </c>
      <c r="B231" s="162"/>
      <c r="D231" s="164"/>
      <c r="E231" s="165"/>
      <c r="F231" s="164"/>
      <c r="G231" s="169"/>
      <c r="H231" s="165"/>
      <c r="I231" s="165"/>
      <c r="J231" s="166"/>
      <c r="K231" s="167"/>
      <c r="L231" s="167"/>
    </row>
    <row r="232" spans="1:12" s="163" customFormat="1" x14ac:dyDescent="0.3">
      <c r="A232" s="162" t="str">
        <f>IF(C232="","",SUBTOTAL(3,$C$4:C232))</f>
        <v/>
      </c>
      <c r="B232" s="162"/>
      <c r="D232" s="164"/>
      <c r="E232" s="165"/>
      <c r="F232" s="164"/>
      <c r="G232" s="169"/>
      <c r="H232" s="165"/>
      <c r="I232" s="165"/>
      <c r="J232" s="166"/>
      <c r="K232" s="167"/>
      <c r="L232" s="167"/>
    </row>
    <row r="233" spans="1:12" s="163" customFormat="1" x14ac:dyDescent="0.3">
      <c r="A233" s="162" t="str">
        <f>IF(C233="","",SUBTOTAL(3,$C$4:C233))</f>
        <v/>
      </c>
      <c r="B233" s="162"/>
      <c r="D233" s="164"/>
      <c r="E233" s="165"/>
      <c r="F233" s="164"/>
      <c r="G233" s="169"/>
      <c r="H233" s="165"/>
      <c r="I233" s="165"/>
      <c r="J233" s="166"/>
      <c r="K233" s="167"/>
      <c r="L233" s="167"/>
    </row>
    <row r="234" spans="1:12" s="163" customFormat="1" x14ac:dyDescent="0.3">
      <c r="A234" s="162" t="str">
        <f>IF(C234="","",SUBTOTAL(3,$C$4:C234))</f>
        <v/>
      </c>
      <c r="B234" s="162"/>
      <c r="D234" s="164"/>
      <c r="E234" s="165"/>
      <c r="F234" s="164"/>
      <c r="G234" s="169"/>
      <c r="H234" s="165"/>
      <c r="I234" s="165"/>
      <c r="J234" s="166"/>
      <c r="K234" s="167"/>
      <c r="L234" s="167"/>
    </row>
    <row r="235" spans="1:12" s="163" customFormat="1" x14ac:dyDescent="0.3">
      <c r="A235" s="162" t="str">
        <f>IF(C235="","",SUBTOTAL(3,$C$4:C235))</f>
        <v/>
      </c>
      <c r="B235" s="162"/>
      <c r="D235" s="164"/>
      <c r="E235" s="165"/>
      <c r="F235" s="164"/>
      <c r="G235" s="169"/>
      <c r="H235" s="165"/>
      <c r="I235" s="165"/>
      <c r="J235" s="166"/>
      <c r="K235" s="167"/>
      <c r="L235" s="167"/>
    </row>
    <row r="236" spans="1:12" s="163" customFormat="1" x14ac:dyDescent="0.3">
      <c r="A236" s="162" t="str">
        <f>IF(C236="","",SUBTOTAL(3,$C$4:C236))</f>
        <v/>
      </c>
      <c r="B236" s="162"/>
      <c r="D236" s="164"/>
      <c r="E236" s="165"/>
      <c r="F236" s="164"/>
      <c r="G236" s="169"/>
      <c r="H236" s="165"/>
      <c r="I236" s="165"/>
      <c r="J236" s="166"/>
      <c r="K236" s="167"/>
      <c r="L236" s="167"/>
    </row>
    <row r="237" spans="1:12" s="163" customFormat="1" x14ac:dyDescent="0.3">
      <c r="A237" s="162" t="str">
        <f>IF(C237="","",SUBTOTAL(3,$C$4:C237))</f>
        <v/>
      </c>
      <c r="B237" s="162"/>
      <c r="D237" s="164"/>
      <c r="E237" s="165"/>
      <c r="F237" s="164"/>
      <c r="G237" s="169"/>
      <c r="H237" s="165"/>
      <c r="I237" s="165"/>
      <c r="J237" s="166"/>
      <c r="K237" s="167"/>
      <c r="L237" s="167"/>
    </row>
    <row r="238" spans="1:12" s="163" customFormat="1" x14ac:dyDescent="0.3">
      <c r="A238" s="162" t="str">
        <f>IF(C238="","",SUBTOTAL(3,$C$4:C238))</f>
        <v/>
      </c>
      <c r="B238" s="162"/>
      <c r="D238" s="164"/>
      <c r="E238" s="165"/>
      <c r="F238" s="164"/>
      <c r="G238" s="169"/>
      <c r="H238" s="165"/>
      <c r="I238" s="165"/>
      <c r="J238" s="166"/>
      <c r="K238" s="167"/>
      <c r="L238" s="167"/>
    </row>
    <row r="239" spans="1:12" s="163" customFormat="1" x14ac:dyDescent="0.3">
      <c r="A239" s="162" t="str">
        <f>IF(C239="","",SUBTOTAL(3,$C$4:C239))</f>
        <v/>
      </c>
      <c r="B239" s="162"/>
      <c r="D239" s="164"/>
      <c r="E239" s="165"/>
      <c r="F239" s="164"/>
      <c r="G239" s="169"/>
      <c r="H239" s="165"/>
      <c r="I239" s="165"/>
      <c r="J239" s="166"/>
      <c r="K239" s="167"/>
      <c r="L239" s="167"/>
    </row>
    <row r="240" spans="1:12" s="163" customFormat="1" x14ac:dyDescent="0.3">
      <c r="A240" s="162" t="str">
        <f>IF(C240="","",SUBTOTAL(3,$C$4:C240))</f>
        <v/>
      </c>
      <c r="B240" s="162"/>
      <c r="D240" s="164"/>
      <c r="E240" s="165"/>
      <c r="F240" s="164"/>
      <c r="G240" s="169"/>
      <c r="H240" s="165"/>
      <c r="I240" s="165"/>
      <c r="J240" s="166"/>
      <c r="K240" s="167"/>
      <c r="L240" s="167"/>
    </row>
    <row r="241" spans="1:12" s="163" customFormat="1" x14ac:dyDescent="0.3">
      <c r="A241" s="162" t="str">
        <f>IF(C241="","",SUBTOTAL(3,$C$4:C241))</f>
        <v/>
      </c>
      <c r="B241" s="162"/>
      <c r="D241" s="164"/>
      <c r="E241" s="165"/>
      <c r="F241" s="164"/>
      <c r="G241" s="169"/>
      <c r="H241" s="165"/>
      <c r="I241" s="165"/>
      <c r="J241" s="166"/>
      <c r="K241" s="167"/>
      <c r="L241" s="167"/>
    </row>
    <row r="242" spans="1:12" s="163" customFormat="1" x14ac:dyDescent="0.3">
      <c r="A242" s="162" t="str">
        <f>IF(C242="","",SUBTOTAL(3,$C$4:C242))</f>
        <v/>
      </c>
      <c r="B242" s="162"/>
      <c r="D242" s="164"/>
      <c r="E242" s="165"/>
      <c r="F242" s="164"/>
      <c r="G242" s="169"/>
      <c r="H242" s="165"/>
      <c r="I242" s="165"/>
      <c r="J242" s="166"/>
      <c r="K242" s="167"/>
      <c r="L242" s="167"/>
    </row>
    <row r="243" spans="1:12" s="163" customFormat="1" x14ac:dyDescent="0.3">
      <c r="A243" s="162" t="str">
        <f>IF(C243="","",SUBTOTAL(3,$C$4:C243))</f>
        <v/>
      </c>
      <c r="B243" s="162"/>
      <c r="D243" s="164"/>
      <c r="E243" s="165"/>
      <c r="F243" s="164"/>
      <c r="G243" s="169"/>
      <c r="H243" s="165"/>
      <c r="I243" s="165"/>
      <c r="J243" s="166"/>
      <c r="K243" s="167"/>
      <c r="L243" s="167"/>
    </row>
    <row r="244" spans="1:12" s="163" customFormat="1" x14ac:dyDescent="0.3">
      <c r="A244" s="162" t="str">
        <f>IF(C244="","",SUBTOTAL(3,$C$4:C244))</f>
        <v/>
      </c>
      <c r="B244" s="162"/>
      <c r="D244" s="164"/>
      <c r="E244" s="165"/>
      <c r="F244" s="164"/>
      <c r="G244" s="169"/>
      <c r="H244" s="165"/>
      <c r="I244" s="165"/>
      <c r="J244" s="166"/>
      <c r="K244" s="167"/>
      <c r="L244" s="167"/>
    </row>
    <row r="245" spans="1:12" s="163" customFormat="1" x14ac:dyDescent="0.3">
      <c r="A245" s="162" t="str">
        <f>IF(C245="","",SUBTOTAL(3,$C$4:C245))</f>
        <v/>
      </c>
      <c r="B245" s="162"/>
      <c r="D245" s="164"/>
      <c r="E245" s="165"/>
      <c r="F245" s="164"/>
      <c r="G245" s="169"/>
      <c r="H245" s="165"/>
      <c r="I245" s="165"/>
      <c r="J245" s="166"/>
      <c r="K245" s="167"/>
      <c r="L245" s="167"/>
    </row>
    <row r="246" spans="1:12" s="163" customFormat="1" x14ac:dyDescent="0.3">
      <c r="A246" s="162" t="str">
        <f>IF(C246="","",SUBTOTAL(3,$C$4:C246))</f>
        <v/>
      </c>
      <c r="B246" s="162"/>
      <c r="D246" s="164"/>
      <c r="E246" s="165"/>
      <c r="F246" s="164"/>
      <c r="G246" s="169"/>
      <c r="H246" s="165"/>
      <c r="I246" s="165"/>
      <c r="J246" s="166"/>
      <c r="K246" s="167"/>
      <c r="L246" s="167"/>
    </row>
    <row r="247" spans="1:12" s="163" customFormat="1" x14ac:dyDescent="0.3">
      <c r="A247" s="162" t="str">
        <f>IF(C247="","",SUBTOTAL(3,$C$4:C247))</f>
        <v/>
      </c>
      <c r="B247" s="162"/>
      <c r="D247" s="164"/>
      <c r="E247" s="165"/>
      <c r="F247" s="164"/>
      <c r="G247" s="169"/>
      <c r="H247" s="165"/>
      <c r="I247" s="165"/>
      <c r="J247" s="166"/>
      <c r="K247" s="167"/>
      <c r="L247" s="167"/>
    </row>
    <row r="248" spans="1:12" s="163" customFormat="1" x14ac:dyDescent="0.3">
      <c r="A248" s="162" t="str">
        <f>IF(C248="","",SUBTOTAL(3,$C$4:C248))</f>
        <v/>
      </c>
      <c r="B248" s="162"/>
      <c r="D248" s="164"/>
      <c r="E248" s="165"/>
      <c r="F248" s="164"/>
      <c r="G248" s="169"/>
      <c r="H248" s="165"/>
      <c r="I248" s="165"/>
      <c r="J248" s="166"/>
      <c r="K248" s="167"/>
      <c r="L248" s="167"/>
    </row>
    <row r="249" spans="1:12" s="163" customFormat="1" x14ac:dyDescent="0.3">
      <c r="A249" s="162" t="str">
        <f>IF(C249="","",SUBTOTAL(3,$C$4:C249))</f>
        <v/>
      </c>
      <c r="B249" s="162"/>
      <c r="D249" s="164"/>
      <c r="E249" s="165"/>
      <c r="F249" s="164"/>
      <c r="G249" s="169"/>
      <c r="H249" s="165"/>
      <c r="I249" s="165"/>
      <c r="J249" s="166"/>
      <c r="K249" s="167"/>
      <c r="L249" s="167"/>
    </row>
    <row r="250" spans="1:12" s="163" customFormat="1" x14ac:dyDescent="0.3">
      <c r="A250" s="162" t="str">
        <f>IF(C250="","",SUBTOTAL(3,$C$4:C250))</f>
        <v/>
      </c>
      <c r="B250" s="162"/>
      <c r="D250" s="164"/>
      <c r="E250" s="165"/>
      <c r="F250" s="164"/>
      <c r="G250" s="169"/>
      <c r="H250" s="165"/>
      <c r="I250" s="165"/>
      <c r="J250" s="166"/>
      <c r="K250" s="167"/>
      <c r="L250" s="167"/>
    </row>
    <row r="251" spans="1:12" s="163" customFormat="1" x14ac:dyDescent="0.3">
      <c r="A251" s="162" t="str">
        <f>IF(C251="","",SUBTOTAL(3,$C$4:C251))</f>
        <v/>
      </c>
      <c r="B251" s="162"/>
      <c r="D251" s="164"/>
      <c r="E251" s="165"/>
      <c r="F251" s="164"/>
      <c r="G251" s="169"/>
      <c r="H251" s="165"/>
      <c r="I251" s="165"/>
      <c r="J251" s="166"/>
      <c r="K251" s="167"/>
      <c r="L251" s="167"/>
    </row>
    <row r="252" spans="1:12" s="163" customFormat="1" x14ac:dyDescent="0.3">
      <c r="A252" s="162" t="str">
        <f>IF(C252="","",SUBTOTAL(3,$C$4:C252))</f>
        <v/>
      </c>
      <c r="B252" s="162"/>
      <c r="D252" s="164"/>
      <c r="E252" s="165"/>
      <c r="F252" s="164"/>
      <c r="G252" s="169"/>
      <c r="H252" s="165"/>
      <c r="I252" s="165"/>
      <c r="J252" s="166"/>
      <c r="K252" s="167"/>
      <c r="L252" s="167"/>
    </row>
    <row r="253" spans="1:12" s="163" customFormat="1" x14ac:dyDescent="0.3">
      <c r="A253" s="162" t="str">
        <f>IF(C253="","",SUBTOTAL(3,$C$4:C253))</f>
        <v/>
      </c>
      <c r="B253" s="162"/>
      <c r="D253" s="164"/>
      <c r="E253" s="165"/>
      <c r="F253" s="164"/>
      <c r="G253" s="169"/>
      <c r="H253" s="165"/>
      <c r="I253" s="165"/>
      <c r="J253" s="166"/>
      <c r="K253" s="167"/>
      <c r="L253" s="167"/>
    </row>
    <row r="254" spans="1:12" s="163" customFormat="1" x14ac:dyDescent="0.3">
      <c r="A254" s="162" t="str">
        <f>IF(C254="","",SUBTOTAL(3,$C$4:C254))</f>
        <v/>
      </c>
      <c r="B254" s="162"/>
      <c r="D254" s="164"/>
      <c r="E254" s="165"/>
      <c r="F254" s="164"/>
      <c r="G254" s="169"/>
      <c r="H254" s="165"/>
      <c r="I254" s="165"/>
      <c r="J254" s="166"/>
      <c r="K254" s="167"/>
      <c r="L254" s="167"/>
    </row>
    <row r="255" spans="1:12" s="163" customFormat="1" x14ac:dyDescent="0.3">
      <c r="A255" s="162" t="str">
        <f>IF(C255="","",SUBTOTAL(3,$C$4:C255))</f>
        <v/>
      </c>
      <c r="B255" s="162"/>
      <c r="D255" s="164"/>
      <c r="E255" s="165"/>
      <c r="F255" s="164"/>
      <c r="G255" s="169"/>
      <c r="H255" s="165"/>
      <c r="I255" s="165"/>
      <c r="J255" s="166"/>
      <c r="K255" s="167"/>
      <c r="L255" s="167"/>
    </row>
    <row r="256" spans="1:12" s="163" customFormat="1" x14ac:dyDescent="0.3">
      <c r="A256" s="162" t="str">
        <f>IF(C256="","",SUBTOTAL(3,$C$4:C256))</f>
        <v/>
      </c>
      <c r="B256" s="162"/>
      <c r="D256" s="164"/>
      <c r="E256" s="165"/>
      <c r="F256" s="164"/>
      <c r="G256" s="169"/>
      <c r="H256" s="165"/>
      <c r="I256" s="165"/>
      <c r="J256" s="166"/>
      <c r="K256" s="167"/>
      <c r="L256" s="167"/>
    </row>
    <row r="257" spans="1:12" s="163" customFormat="1" x14ac:dyDescent="0.3">
      <c r="A257" s="162" t="str">
        <f>IF(C257="","",SUBTOTAL(3,$C$4:C257))</f>
        <v/>
      </c>
      <c r="B257" s="162"/>
      <c r="D257" s="164"/>
      <c r="E257" s="165"/>
      <c r="F257" s="164"/>
      <c r="G257" s="169"/>
      <c r="H257" s="165"/>
      <c r="I257" s="165"/>
      <c r="J257" s="166"/>
      <c r="K257" s="167"/>
      <c r="L257" s="167"/>
    </row>
    <row r="258" spans="1:12" s="163" customFormat="1" x14ac:dyDescent="0.3">
      <c r="A258" s="162" t="str">
        <f>IF(C258="","",SUBTOTAL(3,$C$4:C258))</f>
        <v/>
      </c>
      <c r="B258" s="162"/>
      <c r="D258" s="164"/>
      <c r="E258" s="165"/>
      <c r="F258" s="164"/>
      <c r="G258" s="169"/>
      <c r="H258" s="165"/>
      <c r="I258" s="165"/>
      <c r="J258" s="166"/>
      <c r="K258" s="167"/>
      <c r="L258" s="167"/>
    </row>
    <row r="259" spans="1:12" s="163" customFormat="1" x14ac:dyDescent="0.3">
      <c r="A259" s="162" t="str">
        <f>IF(C259="","",SUBTOTAL(3,$C$4:C259))</f>
        <v/>
      </c>
      <c r="B259" s="162"/>
      <c r="D259" s="164"/>
      <c r="E259" s="165"/>
      <c r="F259" s="164"/>
      <c r="G259" s="169"/>
      <c r="H259" s="165"/>
      <c r="I259" s="165"/>
      <c r="J259" s="166"/>
      <c r="K259" s="167"/>
      <c r="L259" s="167"/>
    </row>
    <row r="260" spans="1:12" s="163" customFormat="1" x14ac:dyDescent="0.3">
      <c r="A260" s="162" t="str">
        <f>IF(C260="","",SUBTOTAL(3,$C$4:C260))</f>
        <v/>
      </c>
      <c r="B260" s="162"/>
      <c r="D260" s="164"/>
      <c r="E260" s="165"/>
      <c r="F260" s="164"/>
      <c r="G260" s="169"/>
      <c r="H260" s="165"/>
      <c r="I260" s="165"/>
      <c r="J260" s="166"/>
      <c r="K260" s="167"/>
      <c r="L260" s="167"/>
    </row>
    <row r="261" spans="1:12" s="163" customFormat="1" x14ac:dyDescent="0.3">
      <c r="A261" s="162" t="str">
        <f>IF(C261="","",SUBTOTAL(3,$C$4:C261))</f>
        <v/>
      </c>
      <c r="B261" s="162"/>
      <c r="D261" s="164"/>
      <c r="E261" s="165"/>
      <c r="F261" s="164"/>
      <c r="G261" s="169"/>
      <c r="H261" s="165"/>
      <c r="I261" s="165"/>
      <c r="J261" s="166"/>
      <c r="K261" s="167"/>
      <c r="L261" s="167"/>
    </row>
    <row r="262" spans="1:12" s="163" customFormat="1" x14ac:dyDescent="0.3">
      <c r="A262" s="162" t="str">
        <f>IF(C262="","",SUBTOTAL(3,$C$4:C262))</f>
        <v/>
      </c>
      <c r="B262" s="162"/>
      <c r="D262" s="164"/>
      <c r="E262" s="165"/>
      <c r="F262" s="164"/>
      <c r="G262" s="169"/>
      <c r="H262" s="165"/>
      <c r="I262" s="165"/>
      <c r="J262" s="166"/>
      <c r="K262" s="167"/>
      <c r="L262" s="167"/>
    </row>
    <row r="263" spans="1:12" s="163" customFormat="1" x14ac:dyDescent="0.3">
      <c r="A263" s="162" t="str">
        <f>IF(C263="","",SUBTOTAL(3,$C$4:C263))</f>
        <v/>
      </c>
      <c r="B263" s="162"/>
      <c r="D263" s="164"/>
      <c r="E263" s="165"/>
      <c r="F263" s="164"/>
      <c r="G263" s="169"/>
      <c r="H263" s="165"/>
      <c r="I263" s="165"/>
      <c r="J263" s="166"/>
      <c r="K263" s="167"/>
      <c r="L263" s="167"/>
    </row>
    <row r="264" spans="1:12" s="163" customFormat="1" x14ac:dyDescent="0.3">
      <c r="A264" s="162" t="str">
        <f>IF(C264="","",SUBTOTAL(3,$C$4:C264))</f>
        <v/>
      </c>
      <c r="B264" s="162"/>
      <c r="D264" s="164"/>
      <c r="E264" s="165"/>
      <c r="F264" s="164"/>
      <c r="G264" s="169"/>
      <c r="H264" s="165"/>
      <c r="I264" s="165"/>
      <c r="J264" s="166"/>
      <c r="K264" s="167"/>
      <c r="L264" s="167"/>
    </row>
    <row r="265" spans="1:12" s="163" customFormat="1" x14ac:dyDescent="0.3">
      <c r="A265" s="162" t="str">
        <f>IF(C265="","",SUBTOTAL(3,$C$4:C265))</f>
        <v/>
      </c>
      <c r="B265" s="162"/>
      <c r="D265" s="164"/>
      <c r="E265" s="165"/>
      <c r="F265" s="164"/>
      <c r="G265" s="169"/>
      <c r="H265" s="165"/>
      <c r="I265" s="165"/>
      <c r="J265" s="166"/>
      <c r="K265" s="167"/>
      <c r="L265" s="167"/>
    </row>
    <row r="266" spans="1:12" s="163" customFormat="1" x14ac:dyDescent="0.3">
      <c r="A266" s="162" t="str">
        <f>IF(C266="","",SUBTOTAL(3,$C$4:C266))</f>
        <v/>
      </c>
      <c r="B266" s="162"/>
      <c r="D266" s="164"/>
      <c r="E266" s="165"/>
      <c r="F266" s="164"/>
      <c r="G266" s="169"/>
      <c r="H266" s="165"/>
      <c r="I266" s="165"/>
      <c r="J266" s="166"/>
      <c r="K266" s="167"/>
      <c r="L266" s="167"/>
    </row>
    <row r="267" spans="1:12" s="163" customFormat="1" x14ac:dyDescent="0.3">
      <c r="A267" s="162" t="str">
        <f>IF(C267="","",SUBTOTAL(3,$C$4:C267))</f>
        <v/>
      </c>
      <c r="B267" s="162"/>
      <c r="D267" s="164"/>
      <c r="E267" s="165"/>
      <c r="F267" s="164"/>
      <c r="G267" s="169"/>
      <c r="H267" s="165"/>
      <c r="I267" s="165"/>
      <c r="J267" s="166"/>
      <c r="K267" s="167"/>
      <c r="L267" s="167"/>
    </row>
    <row r="268" spans="1:12" s="163" customFormat="1" x14ac:dyDescent="0.3">
      <c r="A268" s="162" t="str">
        <f>IF(C268="","",SUBTOTAL(3,$C$4:C268))</f>
        <v/>
      </c>
      <c r="B268" s="162"/>
      <c r="D268" s="164"/>
      <c r="E268" s="165"/>
      <c r="F268" s="164"/>
      <c r="G268" s="169"/>
      <c r="H268" s="165"/>
      <c r="I268" s="165"/>
      <c r="J268" s="166"/>
      <c r="K268" s="167"/>
      <c r="L268" s="167"/>
    </row>
    <row r="269" spans="1:12" s="163" customFormat="1" x14ac:dyDescent="0.3">
      <c r="A269" s="162" t="str">
        <f>IF(C269="","",SUBTOTAL(3,$C$4:C269))</f>
        <v/>
      </c>
      <c r="B269" s="162"/>
      <c r="D269" s="164"/>
      <c r="E269" s="165"/>
      <c r="F269" s="164"/>
      <c r="G269" s="169"/>
      <c r="H269" s="165"/>
      <c r="I269" s="165"/>
      <c r="J269" s="166"/>
      <c r="K269" s="167"/>
      <c r="L269" s="167"/>
    </row>
    <row r="270" spans="1:12" s="163" customFormat="1" x14ac:dyDescent="0.3">
      <c r="A270" s="162" t="str">
        <f>IF(C270="","",SUBTOTAL(3,$C$4:C270))</f>
        <v/>
      </c>
      <c r="B270" s="162"/>
      <c r="D270" s="164"/>
      <c r="E270" s="165"/>
      <c r="F270" s="164"/>
      <c r="G270" s="169"/>
      <c r="H270" s="165"/>
      <c r="I270" s="165"/>
      <c r="J270" s="166"/>
      <c r="K270" s="167"/>
      <c r="L270" s="167"/>
    </row>
    <row r="271" spans="1:12" s="163" customFormat="1" x14ac:dyDescent="0.3">
      <c r="A271" s="162" t="str">
        <f>IF(C271="","",SUBTOTAL(3,$C$4:C271))</f>
        <v/>
      </c>
      <c r="B271" s="162"/>
      <c r="D271" s="164"/>
      <c r="E271" s="165"/>
      <c r="F271" s="164"/>
      <c r="G271" s="169"/>
      <c r="H271" s="165"/>
      <c r="I271" s="165"/>
      <c r="J271" s="166"/>
      <c r="K271" s="167"/>
      <c r="L271" s="167"/>
    </row>
    <row r="272" spans="1:12" s="163" customFormat="1" x14ac:dyDescent="0.3">
      <c r="A272" s="162" t="str">
        <f>IF(C272="","",SUBTOTAL(3,$C$4:C272))</f>
        <v/>
      </c>
      <c r="B272" s="162"/>
      <c r="D272" s="164"/>
      <c r="E272" s="165"/>
      <c r="F272" s="164"/>
      <c r="G272" s="169"/>
      <c r="H272" s="165"/>
      <c r="I272" s="165"/>
      <c r="J272" s="166"/>
      <c r="K272" s="167"/>
      <c r="L272" s="167"/>
    </row>
    <row r="273" spans="1:12" s="163" customFormat="1" x14ac:dyDescent="0.3">
      <c r="A273" s="162" t="str">
        <f>IF(C273="","",SUBTOTAL(3,$C$4:C273))</f>
        <v/>
      </c>
      <c r="B273" s="162"/>
      <c r="D273" s="164"/>
      <c r="E273" s="165"/>
      <c r="F273" s="164"/>
      <c r="G273" s="169"/>
      <c r="H273" s="165"/>
      <c r="I273" s="165"/>
      <c r="J273" s="166"/>
      <c r="K273" s="167"/>
      <c r="L273" s="167"/>
    </row>
    <row r="274" spans="1:12" s="163" customFormat="1" x14ac:dyDescent="0.3">
      <c r="A274" s="162" t="str">
        <f>IF(C274="","",SUBTOTAL(3,$C$4:C274))</f>
        <v/>
      </c>
      <c r="B274" s="162"/>
      <c r="D274" s="164"/>
      <c r="E274" s="165"/>
      <c r="F274" s="164"/>
      <c r="G274" s="169"/>
      <c r="H274" s="165"/>
      <c r="I274" s="165"/>
      <c r="J274" s="166"/>
      <c r="K274" s="167"/>
      <c r="L274" s="167"/>
    </row>
    <row r="275" spans="1:12" s="163" customFormat="1" x14ac:dyDescent="0.3">
      <c r="A275" s="162" t="str">
        <f>IF(C275="","",SUBTOTAL(3,$C$4:C275))</f>
        <v/>
      </c>
      <c r="B275" s="162"/>
      <c r="D275" s="164"/>
      <c r="E275" s="165"/>
      <c r="F275" s="164"/>
      <c r="G275" s="169"/>
      <c r="H275" s="165"/>
      <c r="I275" s="165"/>
      <c r="J275" s="166"/>
      <c r="K275" s="167"/>
      <c r="L275" s="167"/>
    </row>
    <row r="276" spans="1:12" s="163" customFormat="1" x14ac:dyDescent="0.3">
      <c r="A276" s="162" t="str">
        <f>IF(C276="","",SUBTOTAL(3,$C$4:C276))</f>
        <v/>
      </c>
      <c r="B276" s="162"/>
      <c r="D276" s="164"/>
      <c r="E276" s="165"/>
      <c r="F276" s="164"/>
      <c r="G276" s="169"/>
      <c r="H276" s="165"/>
      <c r="I276" s="165"/>
      <c r="J276" s="166"/>
      <c r="K276" s="167"/>
      <c r="L276" s="167"/>
    </row>
    <row r="277" spans="1:12" s="163" customFormat="1" x14ac:dyDescent="0.3">
      <c r="A277" s="162" t="str">
        <f>IF(C277="","",SUBTOTAL(3,$C$4:C277))</f>
        <v/>
      </c>
      <c r="B277" s="162"/>
      <c r="D277" s="164"/>
      <c r="E277" s="165"/>
      <c r="F277" s="164"/>
      <c r="G277" s="169"/>
      <c r="H277" s="165"/>
      <c r="I277" s="165"/>
      <c r="J277" s="166"/>
      <c r="K277" s="167"/>
      <c r="L277" s="167"/>
    </row>
    <row r="278" spans="1:12" s="163" customFormat="1" x14ac:dyDescent="0.3">
      <c r="A278" s="162" t="str">
        <f>IF(C278="","",SUBTOTAL(3,$C$4:C278))</f>
        <v/>
      </c>
      <c r="B278" s="162"/>
      <c r="D278" s="164"/>
      <c r="E278" s="165"/>
      <c r="F278" s="164"/>
      <c r="G278" s="169"/>
      <c r="H278" s="165"/>
      <c r="I278" s="165"/>
      <c r="J278" s="166"/>
      <c r="K278" s="167"/>
      <c r="L278" s="167"/>
    </row>
    <row r="279" spans="1:12" s="163" customFormat="1" x14ac:dyDescent="0.3">
      <c r="A279" s="162" t="str">
        <f>IF(C279="","",SUBTOTAL(3,$C$4:C279))</f>
        <v/>
      </c>
      <c r="B279" s="162"/>
      <c r="D279" s="164"/>
      <c r="E279" s="165"/>
      <c r="F279" s="164"/>
      <c r="G279" s="169"/>
      <c r="H279" s="165"/>
      <c r="I279" s="165"/>
      <c r="J279" s="166"/>
      <c r="K279" s="167"/>
      <c r="L279" s="167"/>
    </row>
    <row r="280" spans="1:12" s="163" customFormat="1" x14ac:dyDescent="0.3">
      <c r="A280" s="162" t="str">
        <f>IF(C280="","",SUBTOTAL(3,$C$4:C280))</f>
        <v/>
      </c>
      <c r="B280" s="162"/>
      <c r="D280" s="164"/>
      <c r="E280" s="165"/>
      <c r="F280" s="164"/>
      <c r="G280" s="169"/>
      <c r="H280" s="165"/>
      <c r="I280" s="165"/>
      <c r="J280" s="166"/>
      <c r="K280" s="167"/>
      <c r="L280" s="167"/>
    </row>
    <row r="281" spans="1:12" s="163" customFormat="1" x14ac:dyDescent="0.3">
      <c r="A281" s="162" t="str">
        <f>IF(C281="","",SUBTOTAL(3,$C$4:C281))</f>
        <v/>
      </c>
      <c r="B281" s="162"/>
      <c r="D281" s="164"/>
      <c r="E281" s="165"/>
      <c r="F281" s="164"/>
      <c r="G281" s="169"/>
      <c r="H281" s="165"/>
      <c r="I281" s="165"/>
      <c r="J281" s="166"/>
      <c r="K281" s="167"/>
      <c r="L281" s="167"/>
    </row>
    <row r="282" spans="1:12" s="163" customFormat="1" x14ac:dyDescent="0.3">
      <c r="A282" s="162" t="str">
        <f>IF(C282="","",SUBTOTAL(3,$C$4:C282))</f>
        <v/>
      </c>
      <c r="B282" s="162"/>
      <c r="D282" s="164"/>
      <c r="E282" s="165"/>
      <c r="F282" s="164"/>
      <c r="G282" s="169"/>
      <c r="H282" s="165"/>
      <c r="I282" s="165"/>
      <c r="J282" s="166"/>
      <c r="K282" s="167"/>
      <c r="L282" s="167"/>
    </row>
    <row r="283" spans="1:12" s="163" customFormat="1" x14ac:dyDescent="0.3">
      <c r="A283" s="162" t="str">
        <f>IF(C283="","",SUBTOTAL(3,$C$4:C283))</f>
        <v/>
      </c>
      <c r="B283" s="162"/>
      <c r="D283" s="164"/>
      <c r="E283" s="165"/>
      <c r="F283" s="164"/>
      <c r="G283" s="169"/>
      <c r="H283" s="165"/>
      <c r="I283" s="165"/>
      <c r="J283" s="166"/>
      <c r="K283" s="167"/>
      <c r="L283" s="167"/>
    </row>
    <row r="284" spans="1:12" s="163" customFormat="1" x14ac:dyDescent="0.3">
      <c r="A284" s="162" t="str">
        <f>IF(C284="","",SUBTOTAL(3,$C$4:C284))</f>
        <v/>
      </c>
      <c r="B284" s="162"/>
      <c r="D284" s="164"/>
      <c r="E284" s="165"/>
      <c r="F284" s="164"/>
      <c r="G284" s="169"/>
      <c r="H284" s="165"/>
      <c r="I284" s="165"/>
      <c r="J284" s="166"/>
      <c r="K284" s="167"/>
      <c r="L284" s="167"/>
    </row>
    <row r="285" spans="1:12" s="163" customFormat="1" x14ac:dyDescent="0.3">
      <c r="A285" s="162" t="str">
        <f>IF(C285="","",SUBTOTAL(3,$C$4:C285))</f>
        <v/>
      </c>
      <c r="B285" s="162"/>
      <c r="D285" s="164"/>
      <c r="E285" s="165"/>
      <c r="F285" s="164"/>
      <c r="G285" s="169"/>
      <c r="H285" s="165"/>
      <c r="I285" s="165"/>
      <c r="J285" s="166"/>
      <c r="K285" s="167"/>
      <c r="L285" s="167"/>
    </row>
    <row r="286" spans="1:12" s="163" customFormat="1" x14ac:dyDescent="0.3">
      <c r="A286" s="162" t="str">
        <f>IF(C286="","",SUBTOTAL(3,$C$4:C286))</f>
        <v/>
      </c>
      <c r="B286" s="162"/>
      <c r="D286" s="164"/>
      <c r="E286" s="165"/>
      <c r="F286" s="164"/>
      <c r="G286" s="169"/>
      <c r="H286" s="165"/>
      <c r="I286" s="165"/>
      <c r="J286" s="166"/>
      <c r="K286" s="167"/>
      <c r="L286" s="167"/>
    </row>
    <row r="287" spans="1:12" s="163" customFormat="1" x14ac:dyDescent="0.3">
      <c r="A287" s="162" t="str">
        <f>IF(C287="","",SUBTOTAL(3,$C$4:C287))</f>
        <v/>
      </c>
      <c r="B287" s="162"/>
      <c r="D287" s="164"/>
      <c r="E287" s="165"/>
      <c r="F287" s="164"/>
      <c r="G287" s="169"/>
      <c r="H287" s="165"/>
      <c r="I287" s="165"/>
      <c r="J287" s="166"/>
      <c r="K287" s="167"/>
      <c r="L287" s="167"/>
    </row>
    <row r="288" spans="1:12" s="163" customFormat="1" x14ac:dyDescent="0.3">
      <c r="A288" s="162" t="str">
        <f>IF(C288="","",SUBTOTAL(3,$C$4:C288))</f>
        <v/>
      </c>
      <c r="B288" s="162"/>
      <c r="D288" s="164"/>
      <c r="E288" s="165"/>
      <c r="F288" s="164"/>
      <c r="G288" s="169"/>
      <c r="H288" s="165"/>
      <c r="I288" s="165"/>
      <c r="J288" s="166"/>
      <c r="K288" s="167"/>
      <c r="L288" s="167"/>
    </row>
    <row r="289" spans="1:12" s="163" customFormat="1" x14ac:dyDescent="0.3">
      <c r="A289" s="162" t="str">
        <f>IF(C289="","",SUBTOTAL(3,$C$4:C289))</f>
        <v/>
      </c>
      <c r="B289" s="162"/>
      <c r="D289" s="164"/>
      <c r="E289" s="165"/>
      <c r="F289" s="164"/>
      <c r="G289" s="169"/>
      <c r="H289" s="165"/>
      <c r="I289" s="165"/>
      <c r="J289" s="166"/>
      <c r="K289" s="167"/>
      <c r="L289" s="167"/>
    </row>
    <row r="290" spans="1:12" s="163" customFormat="1" x14ac:dyDescent="0.3">
      <c r="A290" s="162" t="str">
        <f>IF(C290="","",SUBTOTAL(3,$C$4:C290))</f>
        <v/>
      </c>
      <c r="B290" s="162"/>
      <c r="D290" s="164"/>
      <c r="E290" s="165"/>
      <c r="F290" s="164"/>
      <c r="G290" s="169"/>
      <c r="H290" s="165"/>
      <c r="I290" s="165"/>
      <c r="J290" s="166"/>
      <c r="K290" s="167"/>
      <c r="L290" s="167"/>
    </row>
    <row r="291" spans="1:12" s="163" customFormat="1" x14ac:dyDescent="0.3">
      <c r="A291" s="162" t="str">
        <f>IF(C291="","",SUBTOTAL(3,$C$4:C291))</f>
        <v/>
      </c>
      <c r="B291" s="162"/>
      <c r="D291" s="164"/>
      <c r="E291" s="165"/>
      <c r="F291" s="164"/>
      <c r="G291" s="169"/>
      <c r="H291" s="165"/>
      <c r="I291" s="165"/>
      <c r="J291" s="166"/>
      <c r="K291" s="167"/>
      <c r="L291" s="167"/>
    </row>
    <row r="292" spans="1:12" s="163" customFormat="1" x14ac:dyDescent="0.3">
      <c r="A292" s="162" t="str">
        <f>IF(C292="","",SUBTOTAL(3,$C$4:C292))</f>
        <v/>
      </c>
      <c r="B292" s="162"/>
      <c r="D292" s="164"/>
      <c r="E292" s="165"/>
      <c r="F292" s="164"/>
      <c r="G292" s="169"/>
      <c r="H292" s="165"/>
      <c r="I292" s="165"/>
      <c r="J292" s="166"/>
      <c r="K292" s="167"/>
      <c r="L292" s="167"/>
    </row>
    <row r="293" spans="1:12" s="163" customFormat="1" x14ac:dyDescent="0.3">
      <c r="A293" s="162" t="str">
        <f>IF(C293="","",SUBTOTAL(3,$C$4:C293))</f>
        <v/>
      </c>
      <c r="B293" s="162"/>
      <c r="D293" s="164"/>
      <c r="E293" s="165"/>
      <c r="F293" s="164"/>
      <c r="G293" s="169"/>
      <c r="H293" s="165"/>
      <c r="I293" s="165"/>
      <c r="J293" s="166"/>
      <c r="K293" s="167"/>
      <c r="L293" s="167"/>
    </row>
    <row r="294" spans="1:12" s="163" customFormat="1" x14ac:dyDescent="0.3">
      <c r="A294" s="162" t="str">
        <f>IF(C294="","",SUBTOTAL(3,$C$4:C294))</f>
        <v/>
      </c>
      <c r="B294" s="162"/>
      <c r="D294" s="164"/>
      <c r="E294" s="165"/>
      <c r="F294" s="164"/>
      <c r="G294" s="169"/>
      <c r="H294" s="165"/>
      <c r="I294" s="165"/>
      <c r="J294" s="166"/>
      <c r="K294" s="167"/>
      <c r="L294" s="167"/>
    </row>
    <row r="295" spans="1:12" s="163" customFormat="1" x14ac:dyDescent="0.3">
      <c r="A295" s="162" t="str">
        <f>IF(C295="","",SUBTOTAL(3,$C$4:C295))</f>
        <v/>
      </c>
      <c r="B295" s="162"/>
      <c r="D295" s="164"/>
      <c r="E295" s="165"/>
      <c r="F295" s="164"/>
      <c r="G295" s="169"/>
      <c r="H295" s="165"/>
      <c r="I295" s="165"/>
      <c r="J295" s="166"/>
      <c r="K295" s="167"/>
      <c r="L295" s="167"/>
    </row>
    <row r="296" spans="1:12" s="163" customFormat="1" x14ac:dyDescent="0.3">
      <c r="A296" s="162" t="str">
        <f>IF(C296="","",SUBTOTAL(3,$C$4:C296))</f>
        <v/>
      </c>
      <c r="B296" s="162"/>
      <c r="D296" s="164"/>
      <c r="E296" s="165"/>
      <c r="F296" s="164"/>
      <c r="G296" s="169"/>
      <c r="H296" s="165"/>
      <c r="I296" s="165"/>
      <c r="J296" s="166"/>
      <c r="K296" s="167"/>
      <c r="L296" s="167"/>
    </row>
    <row r="297" spans="1:12" s="163" customFormat="1" x14ac:dyDescent="0.3">
      <c r="A297" s="162" t="str">
        <f>IF(C297="","",SUBTOTAL(3,$C$4:C297))</f>
        <v/>
      </c>
      <c r="B297" s="162"/>
      <c r="D297" s="164"/>
      <c r="E297" s="165"/>
      <c r="F297" s="164"/>
      <c r="G297" s="169"/>
      <c r="H297" s="165"/>
      <c r="I297" s="165"/>
      <c r="J297" s="166"/>
      <c r="K297" s="167"/>
      <c r="L297" s="167"/>
    </row>
    <row r="298" spans="1:12" s="163" customFormat="1" x14ac:dyDescent="0.3">
      <c r="A298" s="162" t="str">
        <f>IF(C298="","",SUBTOTAL(3,$C$4:C298))</f>
        <v/>
      </c>
      <c r="B298" s="162"/>
      <c r="D298" s="164"/>
      <c r="E298" s="165"/>
      <c r="F298" s="164"/>
      <c r="G298" s="169"/>
      <c r="H298" s="165"/>
      <c r="I298" s="165"/>
      <c r="J298" s="166"/>
      <c r="K298" s="167"/>
      <c r="L298" s="167"/>
    </row>
    <row r="299" spans="1:12" s="163" customFormat="1" x14ac:dyDescent="0.3">
      <c r="A299" s="162" t="str">
        <f>IF(C299="","",SUBTOTAL(3,$C$4:C299))</f>
        <v/>
      </c>
      <c r="B299" s="162"/>
      <c r="D299" s="164"/>
      <c r="E299" s="165"/>
      <c r="F299" s="164"/>
      <c r="G299" s="169"/>
      <c r="H299" s="165"/>
      <c r="I299" s="165"/>
      <c r="J299" s="166"/>
      <c r="K299" s="167"/>
      <c r="L299" s="167"/>
    </row>
    <row r="300" spans="1:12" s="163" customFormat="1" x14ac:dyDescent="0.3">
      <c r="A300" s="162" t="str">
        <f>IF(C300="","",SUBTOTAL(3,$C$4:C300))</f>
        <v/>
      </c>
      <c r="B300" s="162"/>
      <c r="D300" s="164"/>
      <c r="E300" s="165"/>
      <c r="F300" s="164"/>
      <c r="G300" s="169"/>
      <c r="H300" s="165"/>
      <c r="I300" s="165"/>
      <c r="J300" s="166"/>
      <c r="K300" s="167"/>
      <c r="L300" s="167"/>
    </row>
    <row r="301" spans="1:12" s="163" customFormat="1" x14ac:dyDescent="0.3">
      <c r="A301" s="162" t="str">
        <f>IF(C301="","",SUBTOTAL(3,$C$4:C301))</f>
        <v/>
      </c>
      <c r="B301" s="162"/>
      <c r="D301" s="164"/>
      <c r="E301" s="165"/>
      <c r="F301" s="164"/>
      <c r="G301" s="169"/>
      <c r="H301" s="165"/>
      <c r="I301" s="165"/>
      <c r="J301" s="166"/>
      <c r="K301" s="167"/>
      <c r="L301" s="167"/>
    </row>
    <row r="302" spans="1:12" s="163" customFormat="1" x14ac:dyDescent="0.3">
      <c r="A302" s="162" t="str">
        <f>IF(C302="","",SUBTOTAL(3,$C$4:C302))</f>
        <v/>
      </c>
      <c r="B302" s="162"/>
      <c r="D302" s="164"/>
      <c r="E302" s="165"/>
      <c r="F302" s="164"/>
      <c r="G302" s="169"/>
      <c r="H302" s="165"/>
      <c r="I302" s="165"/>
      <c r="J302" s="166"/>
      <c r="K302" s="167"/>
      <c r="L302" s="167"/>
    </row>
    <row r="303" spans="1:12" s="163" customFormat="1" x14ac:dyDescent="0.3">
      <c r="A303" s="162" t="str">
        <f>IF(C303="","",SUBTOTAL(3,$C$4:C303))</f>
        <v/>
      </c>
      <c r="B303" s="162"/>
      <c r="D303" s="164"/>
      <c r="E303" s="165"/>
      <c r="F303" s="164"/>
      <c r="G303" s="169"/>
      <c r="H303" s="165"/>
      <c r="I303" s="165"/>
      <c r="J303" s="166"/>
      <c r="K303" s="167"/>
      <c r="L303" s="167"/>
    </row>
    <row r="304" spans="1:12" s="163" customFormat="1" x14ac:dyDescent="0.3">
      <c r="A304" s="162" t="str">
        <f>IF(C304="","",SUBTOTAL(3,$C$4:C304))</f>
        <v/>
      </c>
      <c r="B304" s="162"/>
      <c r="D304" s="164"/>
      <c r="E304" s="165"/>
      <c r="F304" s="164"/>
      <c r="G304" s="169"/>
      <c r="H304" s="165"/>
      <c r="I304" s="165"/>
      <c r="J304" s="166"/>
      <c r="K304" s="167"/>
      <c r="L304" s="167"/>
    </row>
    <row r="305" spans="1:12" s="163" customFormat="1" x14ac:dyDescent="0.3">
      <c r="A305" s="162" t="str">
        <f>IF(C305="","",SUBTOTAL(3,$C$4:C305))</f>
        <v/>
      </c>
      <c r="B305" s="162"/>
      <c r="D305" s="164"/>
      <c r="E305" s="165"/>
      <c r="F305" s="164"/>
      <c r="G305" s="169"/>
      <c r="H305" s="165"/>
      <c r="I305" s="165"/>
      <c r="J305" s="166"/>
      <c r="K305" s="167"/>
      <c r="L305" s="167"/>
    </row>
    <row r="306" spans="1:12" s="163" customFormat="1" x14ac:dyDescent="0.3">
      <c r="A306" s="162" t="str">
        <f>IF(C306="","",SUBTOTAL(3,$C$4:C306))</f>
        <v/>
      </c>
      <c r="B306" s="162"/>
      <c r="D306" s="164"/>
      <c r="E306" s="165"/>
      <c r="F306" s="164"/>
      <c r="G306" s="169"/>
      <c r="H306" s="165"/>
      <c r="I306" s="165"/>
      <c r="J306" s="166"/>
      <c r="K306" s="167"/>
      <c r="L306" s="167"/>
    </row>
    <row r="307" spans="1:12" s="163" customFormat="1" x14ac:dyDescent="0.3">
      <c r="A307" s="162" t="str">
        <f>IF(C307="","",SUBTOTAL(3,$C$4:C307))</f>
        <v/>
      </c>
      <c r="B307" s="162"/>
      <c r="D307" s="164"/>
      <c r="E307" s="165"/>
      <c r="F307" s="164"/>
      <c r="G307" s="169"/>
      <c r="H307" s="165"/>
      <c r="I307" s="165"/>
      <c r="J307" s="166"/>
      <c r="K307" s="167"/>
      <c r="L307" s="167"/>
    </row>
    <row r="308" spans="1:12" s="163" customFormat="1" x14ac:dyDescent="0.3">
      <c r="A308" s="162" t="str">
        <f>IF(C308="","",SUBTOTAL(3,$C$4:C308))</f>
        <v/>
      </c>
      <c r="B308" s="162"/>
      <c r="D308" s="164"/>
      <c r="E308" s="165"/>
      <c r="F308" s="164"/>
      <c r="G308" s="169"/>
      <c r="H308" s="165"/>
      <c r="I308" s="165"/>
      <c r="J308" s="166"/>
      <c r="K308" s="167"/>
      <c r="L308" s="167"/>
    </row>
    <row r="309" spans="1:12" s="163" customFormat="1" x14ac:dyDescent="0.3">
      <c r="A309" s="162" t="str">
        <f>IF(C309="","",SUBTOTAL(3,$C$4:C309))</f>
        <v/>
      </c>
      <c r="B309" s="162"/>
      <c r="D309" s="164"/>
      <c r="E309" s="165"/>
      <c r="F309" s="164"/>
      <c r="G309" s="169"/>
      <c r="H309" s="165"/>
      <c r="I309" s="165"/>
      <c r="J309" s="166"/>
      <c r="K309" s="167"/>
      <c r="L309" s="167"/>
    </row>
    <row r="310" spans="1:12" s="163" customFormat="1" x14ac:dyDescent="0.3">
      <c r="A310" s="162" t="str">
        <f>IF(C310="","",SUBTOTAL(3,$C$4:C310))</f>
        <v/>
      </c>
      <c r="B310" s="162"/>
      <c r="D310" s="164"/>
      <c r="E310" s="165"/>
      <c r="F310" s="164"/>
      <c r="G310" s="169"/>
      <c r="H310" s="165"/>
      <c r="I310" s="165"/>
      <c r="J310" s="166"/>
      <c r="K310" s="167"/>
      <c r="L310" s="167"/>
    </row>
    <row r="311" spans="1:12" s="163" customFormat="1" x14ac:dyDescent="0.3">
      <c r="A311" s="162" t="str">
        <f>IF(C311="","",SUBTOTAL(3,$C$4:C311))</f>
        <v/>
      </c>
      <c r="B311" s="162"/>
      <c r="D311" s="164"/>
      <c r="E311" s="165"/>
      <c r="F311" s="164"/>
      <c r="G311" s="169"/>
      <c r="H311" s="165"/>
      <c r="I311" s="165"/>
      <c r="J311" s="166"/>
      <c r="K311" s="167"/>
      <c r="L311" s="167"/>
    </row>
    <row r="312" spans="1:12" s="163" customFormat="1" x14ac:dyDescent="0.3">
      <c r="A312" s="162" t="str">
        <f>IF(C312="","",SUBTOTAL(3,$C$4:C312))</f>
        <v/>
      </c>
      <c r="B312" s="162"/>
      <c r="D312" s="164"/>
      <c r="E312" s="165"/>
      <c r="F312" s="164"/>
      <c r="G312" s="169"/>
      <c r="H312" s="165"/>
      <c r="I312" s="165"/>
      <c r="J312" s="166"/>
      <c r="K312" s="167"/>
      <c r="L312" s="167"/>
    </row>
    <row r="313" spans="1:12" s="163" customFormat="1" x14ac:dyDescent="0.3">
      <c r="A313" s="162" t="str">
        <f>IF(C313="","",SUBTOTAL(3,$C$4:C313))</f>
        <v/>
      </c>
      <c r="B313" s="162"/>
      <c r="D313" s="164"/>
      <c r="E313" s="165"/>
      <c r="F313" s="164"/>
      <c r="G313" s="169"/>
      <c r="H313" s="165"/>
      <c r="I313" s="165"/>
      <c r="J313" s="166"/>
      <c r="K313" s="167"/>
      <c r="L313" s="167"/>
    </row>
    <row r="314" spans="1:12" s="163" customFormat="1" x14ac:dyDescent="0.3">
      <c r="A314" s="162" t="str">
        <f>IF(C314="","",SUBTOTAL(3,$C$4:C314))</f>
        <v/>
      </c>
      <c r="B314" s="162"/>
      <c r="D314" s="164"/>
      <c r="E314" s="165"/>
      <c r="F314" s="164"/>
      <c r="G314" s="169"/>
      <c r="H314" s="165"/>
      <c r="I314" s="165"/>
      <c r="J314" s="166"/>
      <c r="K314" s="167"/>
      <c r="L314" s="167"/>
    </row>
    <row r="315" spans="1:12" s="163" customFormat="1" x14ac:dyDescent="0.3">
      <c r="A315" s="162" t="str">
        <f>IF(C315="","",SUBTOTAL(3,$C$4:C315))</f>
        <v/>
      </c>
      <c r="B315" s="162"/>
      <c r="D315" s="164"/>
      <c r="E315" s="165"/>
      <c r="F315" s="164"/>
      <c r="G315" s="169"/>
      <c r="H315" s="165"/>
      <c r="I315" s="165"/>
      <c r="J315" s="166"/>
      <c r="K315" s="167"/>
      <c r="L315" s="167"/>
    </row>
    <row r="316" spans="1:12" s="163" customFormat="1" x14ac:dyDescent="0.3">
      <c r="A316" s="162" t="str">
        <f>IF(C316="","",SUBTOTAL(3,$C$4:C316))</f>
        <v/>
      </c>
      <c r="B316" s="162"/>
      <c r="D316" s="164"/>
      <c r="E316" s="165"/>
      <c r="F316" s="164"/>
      <c r="G316" s="169"/>
      <c r="H316" s="165"/>
      <c r="I316" s="165"/>
      <c r="J316" s="166"/>
      <c r="K316" s="167"/>
      <c r="L316" s="167"/>
    </row>
    <row r="317" spans="1:12" s="163" customFormat="1" x14ac:dyDescent="0.3">
      <c r="A317" s="162" t="str">
        <f>IF(C317="","",SUBTOTAL(3,$C$4:C317))</f>
        <v/>
      </c>
      <c r="B317" s="162"/>
      <c r="D317" s="164"/>
      <c r="E317" s="165"/>
      <c r="F317" s="164"/>
      <c r="G317" s="169"/>
      <c r="H317" s="165"/>
      <c r="I317" s="165"/>
      <c r="J317" s="166"/>
      <c r="K317" s="167"/>
      <c r="L317" s="167"/>
    </row>
    <row r="318" spans="1:12" s="163" customFormat="1" x14ac:dyDescent="0.3">
      <c r="A318" s="162" t="str">
        <f>IF(C318="","",SUBTOTAL(3,$C$4:C318))</f>
        <v/>
      </c>
      <c r="B318" s="162"/>
      <c r="D318" s="164"/>
      <c r="E318" s="165"/>
      <c r="F318" s="164"/>
      <c r="G318" s="169"/>
      <c r="H318" s="165"/>
      <c r="I318" s="165"/>
      <c r="J318" s="166"/>
      <c r="K318" s="167"/>
      <c r="L318" s="167"/>
    </row>
    <row r="319" spans="1:12" s="163" customFormat="1" x14ac:dyDescent="0.3">
      <c r="A319" s="162" t="str">
        <f>IF(C319="","",SUBTOTAL(3,$C$4:C319))</f>
        <v/>
      </c>
      <c r="B319" s="162"/>
      <c r="D319" s="164"/>
      <c r="E319" s="165"/>
      <c r="F319" s="164"/>
      <c r="G319" s="169"/>
      <c r="H319" s="165"/>
      <c r="I319" s="165"/>
      <c r="J319" s="166"/>
      <c r="K319" s="167"/>
      <c r="L319" s="167"/>
    </row>
    <row r="320" spans="1:12" s="163" customFormat="1" x14ac:dyDescent="0.3">
      <c r="A320" s="162" t="str">
        <f>IF(C320="","",SUBTOTAL(3,$C$4:C320))</f>
        <v/>
      </c>
      <c r="B320" s="162"/>
      <c r="D320" s="164"/>
      <c r="E320" s="165"/>
      <c r="F320" s="164"/>
      <c r="G320" s="169"/>
      <c r="H320" s="165"/>
      <c r="I320" s="165"/>
      <c r="J320" s="166"/>
      <c r="K320" s="167"/>
      <c r="L320" s="167"/>
    </row>
    <row r="321" spans="1:12" s="163" customFormat="1" x14ac:dyDescent="0.3">
      <c r="A321" s="162" t="str">
        <f>IF(C321="","",SUBTOTAL(3,$C$4:C321))</f>
        <v/>
      </c>
      <c r="B321" s="162"/>
      <c r="D321" s="164"/>
      <c r="E321" s="165"/>
      <c r="F321" s="164"/>
      <c r="G321" s="169"/>
      <c r="H321" s="165"/>
      <c r="I321" s="165"/>
      <c r="J321" s="166"/>
      <c r="K321" s="167"/>
      <c r="L321" s="167"/>
    </row>
    <row r="322" spans="1:12" s="163" customFormat="1" x14ac:dyDescent="0.3">
      <c r="A322" s="162" t="str">
        <f>IF(C322="","",SUBTOTAL(3,$C$4:C322))</f>
        <v/>
      </c>
      <c r="B322" s="162"/>
      <c r="D322" s="164"/>
      <c r="E322" s="165"/>
      <c r="F322" s="164"/>
      <c r="G322" s="169"/>
      <c r="H322" s="165"/>
      <c r="I322" s="165"/>
      <c r="J322" s="166"/>
      <c r="K322" s="167"/>
      <c r="L322" s="167"/>
    </row>
    <row r="323" spans="1:12" s="163" customFormat="1" x14ac:dyDescent="0.3">
      <c r="A323" s="162" t="str">
        <f>IF(C323="","",SUBTOTAL(3,$C$4:C323))</f>
        <v/>
      </c>
      <c r="B323" s="162"/>
      <c r="D323" s="164"/>
      <c r="E323" s="165"/>
      <c r="F323" s="164"/>
      <c r="G323" s="169"/>
      <c r="H323" s="165"/>
      <c r="I323" s="165"/>
      <c r="J323" s="166"/>
      <c r="K323" s="167"/>
      <c r="L323" s="167"/>
    </row>
    <row r="324" spans="1:12" s="163" customFormat="1" x14ac:dyDescent="0.3">
      <c r="A324" s="162" t="str">
        <f>IF(C324="","",SUBTOTAL(3,$C$4:C324))</f>
        <v/>
      </c>
      <c r="B324" s="162"/>
      <c r="D324" s="164"/>
      <c r="E324" s="165"/>
      <c r="F324" s="164"/>
      <c r="G324" s="169"/>
      <c r="H324" s="165"/>
      <c r="I324" s="165"/>
      <c r="J324" s="166"/>
      <c r="K324" s="167"/>
      <c r="L324" s="167"/>
    </row>
    <row r="325" spans="1:12" s="163" customFormat="1" x14ac:dyDescent="0.3">
      <c r="A325" s="162" t="str">
        <f>IF(C325="","",SUBTOTAL(3,$C$4:C325))</f>
        <v/>
      </c>
      <c r="B325" s="162"/>
      <c r="D325" s="164"/>
      <c r="E325" s="165"/>
      <c r="F325" s="164"/>
      <c r="G325" s="169"/>
      <c r="H325" s="165"/>
      <c r="I325" s="165"/>
      <c r="J325" s="166"/>
      <c r="K325" s="167"/>
      <c r="L325" s="167"/>
    </row>
    <row r="326" spans="1:12" s="163" customFormat="1" x14ac:dyDescent="0.3">
      <c r="A326" s="162" t="str">
        <f>IF(C326="","",SUBTOTAL(3,$C$4:C326))</f>
        <v/>
      </c>
      <c r="B326" s="162"/>
      <c r="D326" s="164"/>
      <c r="E326" s="165"/>
      <c r="F326" s="164"/>
      <c r="G326" s="169"/>
      <c r="H326" s="165"/>
      <c r="I326" s="165"/>
      <c r="J326" s="166"/>
      <c r="K326" s="167"/>
      <c r="L326" s="167"/>
    </row>
    <row r="327" spans="1:12" s="163" customFormat="1" x14ac:dyDescent="0.3">
      <c r="A327" s="162" t="str">
        <f>IF(C327="","",SUBTOTAL(3,$C$4:C327))</f>
        <v/>
      </c>
      <c r="B327" s="162"/>
      <c r="D327" s="164"/>
      <c r="E327" s="165"/>
      <c r="F327" s="164"/>
      <c r="G327" s="169"/>
      <c r="H327" s="165"/>
      <c r="I327" s="165"/>
      <c r="J327" s="166"/>
      <c r="K327" s="167"/>
      <c r="L327" s="167"/>
    </row>
    <row r="328" spans="1:12" s="163" customFormat="1" x14ac:dyDescent="0.3">
      <c r="A328" s="162" t="str">
        <f>IF(C328="","",SUBTOTAL(3,$C$4:C328))</f>
        <v/>
      </c>
      <c r="B328" s="162"/>
      <c r="D328" s="164"/>
      <c r="E328" s="165"/>
      <c r="F328" s="164"/>
      <c r="G328" s="169"/>
      <c r="H328" s="165"/>
      <c r="I328" s="165"/>
      <c r="J328" s="166"/>
      <c r="K328" s="167"/>
      <c r="L328" s="167"/>
    </row>
    <row r="329" spans="1:12" s="163" customFormat="1" x14ac:dyDescent="0.3">
      <c r="A329" s="162" t="str">
        <f>IF(C329="","",SUBTOTAL(3,$C$4:C329))</f>
        <v/>
      </c>
      <c r="B329" s="162"/>
      <c r="D329" s="164"/>
      <c r="E329" s="165"/>
      <c r="F329" s="164"/>
      <c r="G329" s="169"/>
      <c r="H329" s="165"/>
      <c r="I329" s="165"/>
      <c r="J329" s="166"/>
      <c r="K329" s="167"/>
      <c r="L329" s="167"/>
    </row>
    <row r="330" spans="1:12" s="163" customFormat="1" x14ac:dyDescent="0.3">
      <c r="A330" s="162" t="str">
        <f>IF(C330="","",SUBTOTAL(3,$C$4:C330))</f>
        <v/>
      </c>
      <c r="B330" s="162"/>
      <c r="D330" s="164"/>
      <c r="E330" s="165"/>
      <c r="F330" s="164"/>
      <c r="G330" s="169"/>
      <c r="H330" s="165"/>
      <c r="I330" s="165"/>
      <c r="J330" s="166"/>
      <c r="K330" s="167"/>
      <c r="L330" s="167"/>
    </row>
    <row r="331" spans="1:12" s="163" customFormat="1" x14ac:dyDescent="0.3">
      <c r="A331" s="162" t="str">
        <f>IF(C331="","",SUBTOTAL(3,$C$4:C331))</f>
        <v/>
      </c>
      <c r="B331" s="162"/>
      <c r="D331" s="164"/>
      <c r="E331" s="165"/>
      <c r="F331" s="164"/>
      <c r="G331" s="169"/>
      <c r="H331" s="165"/>
      <c r="I331" s="165"/>
      <c r="J331" s="166"/>
      <c r="K331" s="167"/>
      <c r="L331" s="167"/>
    </row>
    <row r="332" spans="1:12" s="163" customFormat="1" x14ac:dyDescent="0.3">
      <c r="A332" s="162" t="str">
        <f>IF(C332="","",SUBTOTAL(3,$C$4:C332))</f>
        <v/>
      </c>
      <c r="B332" s="162"/>
      <c r="D332" s="164"/>
      <c r="E332" s="165"/>
      <c r="F332" s="164"/>
      <c r="G332" s="169"/>
      <c r="H332" s="165"/>
      <c r="I332" s="165"/>
      <c r="J332" s="166"/>
      <c r="K332" s="167"/>
      <c r="L332" s="167"/>
    </row>
    <row r="333" spans="1:12" s="163" customFormat="1" x14ac:dyDescent="0.3">
      <c r="A333" s="162" t="str">
        <f>IF(C333="","",SUBTOTAL(3,$C$4:C333))</f>
        <v/>
      </c>
      <c r="B333" s="162"/>
      <c r="D333" s="164"/>
      <c r="E333" s="165"/>
      <c r="F333" s="164"/>
      <c r="G333" s="169"/>
      <c r="H333" s="165"/>
      <c r="I333" s="165"/>
      <c r="J333" s="166"/>
      <c r="K333" s="167"/>
      <c r="L333" s="167"/>
    </row>
    <row r="334" spans="1:12" s="163" customFormat="1" x14ac:dyDescent="0.3">
      <c r="A334" s="162" t="str">
        <f>IF(C334="","",SUBTOTAL(3,$C$4:C334))</f>
        <v/>
      </c>
      <c r="B334" s="162"/>
      <c r="D334" s="164"/>
      <c r="E334" s="165"/>
      <c r="F334" s="164"/>
      <c r="G334" s="169"/>
      <c r="H334" s="165"/>
      <c r="I334" s="165"/>
      <c r="J334" s="166"/>
      <c r="K334" s="167"/>
      <c r="L334" s="167"/>
    </row>
    <row r="335" spans="1:12" s="163" customFormat="1" x14ac:dyDescent="0.3">
      <c r="A335" s="162" t="str">
        <f>IF(C335="","",SUBTOTAL(3,$C$4:C335))</f>
        <v/>
      </c>
      <c r="B335" s="162"/>
      <c r="D335" s="164"/>
      <c r="E335" s="165"/>
      <c r="F335" s="164"/>
      <c r="G335" s="169"/>
      <c r="H335" s="165"/>
      <c r="I335" s="165"/>
      <c r="J335" s="166"/>
      <c r="K335" s="167"/>
      <c r="L335" s="167"/>
    </row>
    <row r="336" spans="1:12" s="163" customFormat="1" x14ac:dyDescent="0.3">
      <c r="A336" s="162" t="str">
        <f>IF(C336="","",SUBTOTAL(3,$C$4:C336))</f>
        <v/>
      </c>
      <c r="B336" s="162"/>
      <c r="D336" s="164"/>
      <c r="E336" s="165"/>
      <c r="F336" s="164"/>
      <c r="G336" s="169"/>
      <c r="H336" s="165"/>
      <c r="I336" s="165"/>
      <c r="J336" s="166"/>
      <c r="K336" s="167"/>
      <c r="L336" s="167"/>
    </row>
    <row r="337" spans="1:12" s="163" customFormat="1" x14ac:dyDescent="0.3">
      <c r="A337" s="162" t="str">
        <f>IF(C337="","",SUBTOTAL(3,$C$4:C337))</f>
        <v/>
      </c>
      <c r="B337" s="162"/>
      <c r="D337" s="164"/>
      <c r="E337" s="165"/>
      <c r="F337" s="164"/>
      <c r="G337" s="169"/>
      <c r="H337" s="165"/>
      <c r="I337" s="165"/>
      <c r="J337" s="166"/>
      <c r="K337" s="167"/>
      <c r="L337" s="167"/>
    </row>
    <row r="338" spans="1:12" s="163" customFormat="1" x14ac:dyDescent="0.3">
      <c r="A338" s="162" t="str">
        <f>IF(C338="","",SUBTOTAL(3,$C$4:C338))</f>
        <v/>
      </c>
      <c r="B338" s="162"/>
      <c r="D338" s="164"/>
      <c r="E338" s="165"/>
      <c r="F338" s="164"/>
      <c r="G338" s="169"/>
      <c r="H338" s="165"/>
      <c r="I338" s="165"/>
      <c r="J338" s="166"/>
      <c r="K338" s="167"/>
      <c r="L338" s="167"/>
    </row>
    <row r="339" spans="1:12" s="163" customFormat="1" x14ac:dyDescent="0.3">
      <c r="A339" s="162" t="str">
        <f>IF(C339="","",SUBTOTAL(3,$C$4:C339))</f>
        <v/>
      </c>
      <c r="B339" s="162"/>
      <c r="D339" s="164"/>
      <c r="E339" s="165"/>
      <c r="F339" s="164"/>
      <c r="G339" s="169"/>
      <c r="H339" s="165"/>
      <c r="I339" s="165"/>
      <c r="J339" s="166"/>
      <c r="K339" s="167"/>
      <c r="L339" s="167"/>
    </row>
    <row r="340" spans="1:12" s="163" customFormat="1" x14ac:dyDescent="0.3">
      <c r="A340" s="162" t="str">
        <f>IF(C340="","",SUBTOTAL(3,$C$4:C340))</f>
        <v/>
      </c>
      <c r="B340" s="162"/>
      <c r="D340" s="164"/>
      <c r="E340" s="165"/>
      <c r="F340" s="164"/>
      <c r="G340" s="169"/>
      <c r="H340" s="165"/>
      <c r="I340" s="165"/>
      <c r="J340" s="166"/>
      <c r="K340" s="167"/>
      <c r="L340" s="167"/>
    </row>
    <row r="341" spans="1:12" s="163" customFormat="1" x14ac:dyDescent="0.3">
      <c r="A341" s="162" t="str">
        <f>IF(C341="","",SUBTOTAL(3,$C$4:C341))</f>
        <v/>
      </c>
      <c r="B341" s="162"/>
      <c r="D341" s="164"/>
      <c r="E341" s="165"/>
      <c r="F341" s="164"/>
      <c r="G341" s="169"/>
      <c r="H341" s="165"/>
      <c r="I341" s="165"/>
      <c r="J341" s="166"/>
      <c r="K341" s="167"/>
      <c r="L341" s="167"/>
    </row>
    <row r="342" spans="1:12" s="163" customFormat="1" x14ac:dyDescent="0.3">
      <c r="A342" s="162" t="str">
        <f>IF(C342="","",SUBTOTAL(3,$C$4:C342))</f>
        <v/>
      </c>
      <c r="B342" s="162"/>
      <c r="D342" s="164"/>
      <c r="E342" s="165"/>
      <c r="F342" s="164"/>
      <c r="G342" s="169"/>
      <c r="H342" s="165"/>
      <c r="I342" s="165"/>
      <c r="J342" s="166"/>
      <c r="K342" s="167"/>
      <c r="L342" s="167"/>
    </row>
    <row r="343" spans="1:12" s="163" customFormat="1" x14ac:dyDescent="0.3">
      <c r="A343" s="162" t="str">
        <f>IF(C343="","",SUBTOTAL(3,$C$4:C343))</f>
        <v/>
      </c>
      <c r="B343" s="162"/>
      <c r="D343" s="164"/>
      <c r="E343" s="165"/>
      <c r="F343" s="164"/>
      <c r="G343" s="169"/>
      <c r="H343" s="165"/>
      <c r="I343" s="165"/>
      <c r="J343" s="166"/>
      <c r="K343" s="167"/>
      <c r="L343" s="167"/>
    </row>
    <row r="344" spans="1:12" s="163" customFormat="1" x14ac:dyDescent="0.3">
      <c r="A344" s="162" t="str">
        <f>IF(C344="","",SUBTOTAL(3,$C$4:C344))</f>
        <v/>
      </c>
      <c r="B344" s="162"/>
      <c r="D344" s="164"/>
      <c r="E344" s="165"/>
      <c r="F344" s="164"/>
      <c r="G344" s="169"/>
      <c r="H344" s="165"/>
      <c r="I344" s="165"/>
      <c r="J344" s="166"/>
      <c r="K344" s="167"/>
      <c r="L344" s="167"/>
    </row>
    <row r="345" spans="1:12" s="163" customFormat="1" x14ac:dyDescent="0.3">
      <c r="A345" s="162" t="str">
        <f>IF(C345="","",SUBTOTAL(3,$C$4:C345))</f>
        <v/>
      </c>
      <c r="B345" s="162"/>
      <c r="D345" s="164"/>
      <c r="E345" s="165"/>
      <c r="F345" s="164"/>
      <c r="G345" s="169"/>
      <c r="H345" s="165"/>
      <c r="I345" s="165"/>
      <c r="J345" s="166"/>
      <c r="K345" s="167"/>
      <c r="L345" s="167"/>
    </row>
    <row r="346" spans="1:12" s="163" customFormat="1" x14ac:dyDescent="0.3">
      <c r="A346" s="162" t="str">
        <f>IF(C346="","",SUBTOTAL(3,$C$4:C346))</f>
        <v/>
      </c>
      <c r="B346" s="162"/>
      <c r="D346" s="164"/>
      <c r="E346" s="165"/>
      <c r="F346" s="164"/>
      <c r="G346" s="169"/>
      <c r="H346" s="165"/>
      <c r="I346" s="165"/>
      <c r="J346" s="166"/>
      <c r="K346" s="167"/>
      <c r="L346" s="167"/>
    </row>
    <row r="347" spans="1:12" s="163" customFormat="1" x14ac:dyDescent="0.3">
      <c r="A347" s="162" t="str">
        <f>IF(C347="","",SUBTOTAL(3,$C$4:C347))</f>
        <v/>
      </c>
      <c r="B347" s="162"/>
      <c r="D347" s="164"/>
      <c r="E347" s="165"/>
      <c r="F347" s="164"/>
      <c r="G347" s="169"/>
      <c r="H347" s="165"/>
      <c r="I347" s="165"/>
      <c r="J347" s="166"/>
      <c r="K347" s="167"/>
      <c r="L347" s="167"/>
    </row>
    <row r="348" spans="1:12" s="163" customFormat="1" x14ac:dyDescent="0.3">
      <c r="A348" s="162" t="str">
        <f>IF(C348="","",SUBTOTAL(3,$C$4:C348))</f>
        <v/>
      </c>
      <c r="B348" s="162"/>
      <c r="D348" s="164"/>
      <c r="E348" s="165"/>
      <c r="F348" s="164"/>
      <c r="G348" s="169"/>
      <c r="H348" s="165"/>
      <c r="I348" s="165"/>
      <c r="J348" s="166"/>
      <c r="K348" s="167"/>
      <c r="L348" s="167"/>
    </row>
    <row r="349" spans="1:12" s="163" customFormat="1" x14ac:dyDescent="0.3">
      <c r="A349" s="162" t="str">
        <f>IF(C349="","",SUBTOTAL(3,$C$4:C349))</f>
        <v/>
      </c>
      <c r="B349" s="162"/>
      <c r="D349" s="164"/>
      <c r="E349" s="165"/>
      <c r="F349" s="164"/>
      <c r="G349" s="169"/>
      <c r="H349" s="165"/>
      <c r="I349" s="165"/>
      <c r="J349" s="166"/>
      <c r="K349" s="167"/>
      <c r="L349" s="167"/>
    </row>
    <row r="350" spans="1:12" s="163" customFormat="1" x14ac:dyDescent="0.3">
      <c r="A350" s="162" t="str">
        <f>IF(C350="","",SUBTOTAL(3,$C$4:C350))</f>
        <v/>
      </c>
      <c r="B350" s="162"/>
      <c r="D350" s="164"/>
      <c r="E350" s="165"/>
      <c r="F350" s="164"/>
      <c r="G350" s="169"/>
      <c r="H350" s="165"/>
      <c r="I350" s="165"/>
      <c r="J350" s="166"/>
      <c r="K350" s="167"/>
      <c r="L350" s="167"/>
    </row>
    <row r="351" spans="1:12" s="163" customFormat="1" x14ac:dyDescent="0.3">
      <c r="A351" s="162" t="str">
        <f>IF(C351="","",SUBTOTAL(3,$C$4:C351))</f>
        <v/>
      </c>
      <c r="B351" s="162"/>
      <c r="D351" s="164"/>
      <c r="E351" s="165"/>
      <c r="F351" s="164"/>
      <c r="G351" s="169"/>
      <c r="H351" s="165"/>
      <c r="I351" s="165"/>
      <c r="J351" s="166"/>
      <c r="K351" s="167"/>
      <c r="L351" s="167"/>
    </row>
    <row r="352" spans="1:12" s="163" customFormat="1" x14ac:dyDescent="0.3">
      <c r="A352" s="162" t="str">
        <f>IF(C352="","",SUBTOTAL(3,$C$4:C352))</f>
        <v/>
      </c>
      <c r="B352" s="162"/>
      <c r="D352" s="164"/>
      <c r="E352" s="165"/>
      <c r="F352" s="164"/>
      <c r="G352" s="169"/>
      <c r="H352" s="165"/>
      <c r="I352" s="165"/>
      <c r="J352" s="166"/>
      <c r="K352" s="167"/>
      <c r="L352" s="167"/>
    </row>
    <row r="353" spans="1:12" s="163" customFormat="1" x14ac:dyDescent="0.3">
      <c r="A353" s="162" t="str">
        <f>IF(C353="","",SUBTOTAL(3,$C$4:C353))</f>
        <v/>
      </c>
      <c r="B353" s="162"/>
      <c r="D353" s="164"/>
      <c r="E353" s="165"/>
      <c r="F353" s="164"/>
      <c r="G353" s="169"/>
      <c r="H353" s="165"/>
      <c r="I353" s="165"/>
      <c r="J353" s="166"/>
      <c r="K353" s="167"/>
      <c r="L353" s="167"/>
    </row>
    <row r="354" spans="1:12" s="163" customFormat="1" x14ac:dyDescent="0.3">
      <c r="A354" s="162" t="str">
        <f>IF(C354="","",SUBTOTAL(3,$C$4:C354))</f>
        <v/>
      </c>
      <c r="B354" s="162"/>
      <c r="D354" s="164"/>
      <c r="E354" s="165"/>
      <c r="F354" s="164"/>
      <c r="G354" s="169"/>
      <c r="H354" s="165"/>
      <c r="I354" s="165"/>
      <c r="J354" s="166"/>
      <c r="K354" s="167"/>
      <c r="L354" s="167"/>
    </row>
    <row r="355" spans="1:12" s="163" customFormat="1" x14ac:dyDescent="0.3">
      <c r="A355" s="162" t="str">
        <f>IF(C355="","",SUBTOTAL(3,$C$4:C355))</f>
        <v/>
      </c>
      <c r="B355" s="162"/>
      <c r="D355" s="164"/>
      <c r="E355" s="165"/>
      <c r="F355" s="164"/>
      <c r="G355" s="169"/>
      <c r="H355" s="165"/>
      <c r="I355" s="165"/>
      <c r="J355" s="166"/>
      <c r="K355" s="167"/>
      <c r="L355" s="167"/>
    </row>
    <row r="356" spans="1:12" s="163" customFormat="1" x14ac:dyDescent="0.3">
      <c r="A356" s="162" t="str">
        <f>IF(C356="","",SUBTOTAL(3,$C$4:C356))</f>
        <v/>
      </c>
      <c r="B356" s="162"/>
      <c r="D356" s="164"/>
      <c r="E356" s="165"/>
      <c r="F356" s="164"/>
      <c r="G356" s="169"/>
      <c r="H356" s="165"/>
      <c r="I356" s="165"/>
      <c r="J356" s="166"/>
      <c r="K356" s="167"/>
      <c r="L356" s="167"/>
    </row>
    <row r="357" spans="1:12" s="163" customFormat="1" x14ac:dyDescent="0.3">
      <c r="A357" s="162" t="str">
        <f>IF(C357="","",SUBTOTAL(3,$C$4:C357))</f>
        <v/>
      </c>
      <c r="B357" s="162"/>
      <c r="D357" s="164"/>
      <c r="E357" s="165"/>
      <c r="F357" s="164"/>
      <c r="G357" s="169"/>
      <c r="H357" s="165"/>
      <c r="I357" s="165"/>
      <c r="J357" s="166"/>
      <c r="K357" s="167"/>
      <c r="L357" s="167"/>
    </row>
    <row r="358" spans="1:12" s="163" customFormat="1" x14ac:dyDescent="0.3">
      <c r="A358" s="162" t="str">
        <f>IF(C358="","",SUBTOTAL(3,$C$4:C358))</f>
        <v/>
      </c>
      <c r="B358" s="162"/>
      <c r="D358" s="164"/>
      <c r="E358" s="165"/>
      <c r="F358" s="164"/>
      <c r="G358" s="169"/>
      <c r="H358" s="165"/>
      <c r="I358" s="165"/>
      <c r="J358" s="166"/>
      <c r="K358" s="167"/>
      <c r="L358" s="167"/>
    </row>
    <row r="359" spans="1:12" s="163" customFormat="1" x14ac:dyDescent="0.3">
      <c r="A359" s="162" t="str">
        <f>IF(C359="","",SUBTOTAL(3,$C$4:C359))</f>
        <v/>
      </c>
      <c r="B359" s="162"/>
      <c r="D359" s="164"/>
      <c r="E359" s="165"/>
      <c r="F359" s="164"/>
      <c r="G359" s="169"/>
      <c r="H359" s="165"/>
      <c r="I359" s="165"/>
      <c r="J359" s="166"/>
      <c r="K359" s="167"/>
      <c r="L359" s="167"/>
    </row>
    <row r="360" spans="1:12" s="163" customFormat="1" x14ac:dyDescent="0.3">
      <c r="A360" s="162" t="str">
        <f>IF(C360="","",SUBTOTAL(3,$C$4:C360))</f>
        <v/>
      </c>
      <c r="B360" s="162"/>
      <c r="D360" s="164"/>
      <c r="E360" s="165"/>
      <c r="F360" s="164"/>
      <c r="G360" s="169"/>
      <c r="H360" s="165"/>
      <c r="I360" s="165"/>
      <c r="J360" s="166"/>
      <c r="K360" s="167"/>
      <c r="L360" s="167"/>
    </row>
    <row r="361" spans="1:12" s="163" customFormat="1" x14ac:dyDescent="0.3">
      <c r="A361" s="162" t="str">
        <f>IF(C361="","",SUBTOTAL(3,$C$4:C361))</f>
        <v/>
      </c>
      <c r="B361" s="162"/>
      <c r="D361" s="164"/>
      <c r="E361" s="165"/>
      <c r="F361" s="164"/>
      <c r="G361" s="169"/>
      <c r="H361" s="165"/>
      <c r="I361" s="165"/>
      <c r="J361" s="166"/>
      <c r="K361" s="167"/>
      <c r="L361" s="167"/>
    </row>
    <row r="362" spans="1:12" s="163" customFormat="1" x14ac:dyDescent="0.3">
      <c r="A362" s="162" t="str">
        <f>IF(C362="","",SUBTOTAL(3,$C$4:C362))</f>
        <v/>
      </c>
      <c r="B362" s="162"/>
      <c r="D362" s="164"/>
      <c r="E362" s="165"/>
      <c r="F362" s="164"/>
      <c r="G362" s="169"/>
      <c r="H362" s="165"/>
      <c r="I362" s="165"/>
      <c r="J362" s="166"/>
      <c r="K362" s="167"/>
      <c r="L362" s="167"/>
    </row>
    <row r="363" spans="1:12" s="163" customFormat="1" x14ac:dyDescent="0.3">
      <c r="A363" s="162" t="str">
        <f>IF(C363="","",SUBTOTAL(3,$C$4:C363))</f>
        <v/>
      </c>
      <c r="B363" s="162"/>
      <c r="D363" s="164"/>
      <c r="E363" s="165"/>
      <c r="F363" s="164"/>
      <c r="G363" s="169"/>
      <c r="H363" s="165"/>
      <c r="I363" s="165"/>
      <c r="J363" s="166"/>
      <c r="K363" s="167"/>
      <c r="L363" s="167"/>
    </row>
    <row r="364" spans="1:12" s="163" customFormat="1" x14ac:dyDescent="0.3">
      <c r="A364" s="162" t="str">
        <f>IF(C364="","",SUBTOTAL(3,$C$4:C364))</f>
        <v/>
      </c>
      <c r="B364" s="162"/>
      <c r="D364" s="164"/>
      <c r="E364" s="165"/>
      <c r="F364" s="164"/>
      <c r="G364" s="169"/>
      <c r="H364" s="165"/>
      <c r="I364" s="165"/>
      <c r="J364" s="166"/>
      <c r="K364" s="167"/>
      <c r="L364" s="167"/>
    </row>
    <row r="365" spans="1:12" s="163" customFormat="1" x14ac:dyDescent="0.3">
      <c r="A365" s="162" t="str">
        <f>IF(C365="","",SUBTOTAL(3,$C$4:C365))</f>
        <v/>
      </c>
      <c r="B365" s="162"/>
      <c r="D365" s="164"/>
      <c r="E365" s="165"/>
      <c r="F365" s="164"/>
      <c r="G365" s="169"/>
      <c r="H365" s="165"/>
      <c r="I365" s="165"/>
      <c r="J365" s="166"/>
      <c r="K365" s="167"/>
      <c r="L365" s="167"/>
    </row>
    <row r="366" spans="1:12" s="163" customFormat="1" x14ac:dyDescent="0.3">
      <c r="A366" s="162" t="str">
        <f>IF(C366="","",SUBTOTAL(3,$C$4:C366))</f>
        <v/>
      </c>
      <c r="B366" s="162"/>
      <c r="D366" s="164"/>
      <c r="E366" s="165"/>
      <c r="F366" s="164"/>
      <c r="G366" s="169"/>
      <c r="H366" s="165"/>
      <c r="I366" s="165"/>
      <c r="J366" s="166"/>
      <c r="K366" s="167"/>
      <c r="L366" s="167"/>
    </row>
    <row r="367" spans="1:12" s="163" customFormat="1" x14ac:dyDescent="0.3">
      <c r="A367" s="162" t="str">
        <f>IF(C367="","",SUBTOTAL(3,$C$4:C367))</f>
        <v/>
      </c>
      <c r="B367" s="162"/>
      <c r="D367" s="164"/>
      <c r="E367" s="165"/>
      <c r="F367" s="164"/>
      <c r="G367" s="169"/>
      <c r="H367" s="165"/>
      <c r="I367" s="165"/>
      <c r="J367" s="166"/>
      <c r="K367" s="167"/>
      <c r="L367" s="167"/>
    </row>
    <row r="368" spans="1:12" s="163" customFormat="1" x14ac:dyDescent="0.3">
      <c r="A368" s="162" t="str">
        <f>IF(C368="","",SUBTOTAL(3,$C$4:C368))</f>
        <v/>
      </c>
      <c r="B368" s="162"/>
      <c r="D368" s="164"/>
      <c r="E368" s="165"/>
      <c r="F368" s="164"/>
      <c r="G368" s="169"/>
      <c r="H368" s="165"/>
      <c r="I368" s="165"/>
      <c r="J368" s="166"/>
      <c r="K368" s="167"/>
      <c r="L368" s="167"/>
    </row>
    <row r="369" spans="1:12" s="163" customFormat="1" x14ac:dyDescent="0.3">
      <c r="A369" s="162" t="str">
        <f>IF(C369="","",SUBTOTAL(3,$C$4:C369))</f>
        <v/>
      </c>
      <c r="B369" s="162"/>
      <c r="D369" s="164"/>
      <c r="E369" s="165"/>
      <c r="F369" s="164"/>
      <c r="G369" s="169"/>
      <c r="H369" s="165"/>
      <c r="I369" s="165"/>
      <c r="J369" s="166"/>
      <c r="K369" s="167"/>
      <c r="L369" s="167"/>
    </row>
    <row r="370" spans="1:12" s="163" customFormat="1" x14ac:dyDescent="0.3">
      <c r="A370" s="162" t="str">
        <f>IF(C370="","",SUBTOTAL(3,$C$4:C370))</f>
        <v/>
      </c>
      <c r="B370" s="162"/>
      <c r="D370" s="164"/>
      <c r="E370" s="165"/>
      <c r="F370" s="164"/>
      <c r="G370" s="169"/>
      <c r="H370" s="165"/>
      <c r="I370" s="165"/>
      <c r="J370" s="166"/>
      <c r="K370" s="167"/>
      <c r="L370" s="167"/>
    </row>
    <row r="371" spans="1:12" s="163" customFormat="1" x14ac:dyDescent="0.3">
      <c r="A371" s="162" t="str">
        <f>IF(C371="","",SUBTOTAL(3,$C$4:C371))</f>
        <v/>
      </c>
      <c r="B371" s="162"/>
      <c r="D371" s="164"/>
      <c r="E371" s="165"/>
      <c r="F371" s="164"/>
      <c r="G371" s="169"/>
      <c r="H371" s="165"/>
      <c r="I371" s="165"/>
      <c r="J371" s="166"/>
      <c r="K371" s="167"/>
      <c r="L371" s="167"/>
    </row>
    <row r="372" spans="1:12" s="163" customFormat="1" x14ac:dyDescent="0.3">
      <c r="A372" s="162" t="str">
        <f>IF(C372="","",SUBTOTAL(3,$C$4:C372))</f>
        <v/>
      </c>
      <c r="B372" s="162"/>
      <c r="D372" s="164"/>
      <c r="E372" s="165"/>
      <c r="F372" s="164"/>
      <c r="G372" s="169"/>
      <c r="H372" s="165"/>
      <c r="I372" s="165"/>
      <c r="J372" s="166"/>
      <c r="K372" s="167"/>
      <c r="L372" s="167"/>
    </row>
    <row r="373" spans="1:12" s="163" customFormat="1" x14ac:dyDescent="0.3">
      <c r="A373" s="162" t="str">
        <f>IF(C373="","",SUBTOTAL(3,$C$4:C373))</f>
        <v/>
      </c>
      <c r="B373" s="162"/>
      <c r="D373" s="164"/>
      <c r="E373" s="165"/>
      <c r="F373" s="164"/>
      <c r="G373" s="169"/>
      <c r="H373" s="165"/>
      <c r="I373" s="165"/>
      <c r="J373" s="166"/>
      <c r="K373" s="167"/>
      <c r="L373" s="167"/>
    </row>
    <row r="374" spans="1:12" s="163" customFormat="1" x14ac:dyDescent="0.3">
      <c r="A374" s="162" t="str">
        <f>IF(C374="","",SUBTOTAL(3,$C$4:C374))</f>
        <v/>
      </c>
      <c r="B374" s="162"/>
      <c r="D374" s="164"/>
      <c r="E374" s="165"/>
      <c r="F374" s="164"/>
      <c r="G374" s="169"/>
      <c r="H374" s="165"/>
      <c r="I374" s="165"/>
      <c r="J374" s="166"/>
      <c r="K374" s="167"/>
      <c r="L374" s="167"/>
    </row>
    <row r="375" spans="1:12" s="163" customFormat="1" x14ac:dyDescent="0.3">
      <c r="A375" s="162" t="str">
        <f>IF(C375="","",SUBTOTAL(3,$C$4:C375))</f>
        <v/>
      </c>
      <c r="B375" s="162"/>
      <c r="D375" s="164"/>
      <c r="E375" s="165"/>
      <c r="F375" s="164"/>
      <c r="G375" s="169"/>
      <c r="H375" s="165"/>
      <c r="I375" s="165"/>
      <c r="J375" s="166"/>
      <c r="K375" s="167"/>
      <c r="L375" s="167"/>
    </row>
    <row r="376" spans="1:12" s="163" customFormat="1" x14ac:dyDescent="0.3">
      <c r="A376" s="162" t="str">
        <f>IF(C376="","",SUBTOTAL(3,$C$4:C376))</f>
        <v/>
      </c>
      <c r="B376" s="162"/>
      <c r="D376" s="164"/>
      <c r="E376" s="165"/>
      <c r="F376" s="164"/>
      <c r="G376" s="169"/>
      <c r="H376" s="165"/>
      <c r="I376" s="165"/>
      <c r="J376" s="166"/>
      <c r="K376" s="167"/>
      <c r="L376" s="167"/>
    </row>
    <row r="377" spans="1:12" s="163" customFormat="1" x14ac:dyDescent="0.3">
      <c r="A377" s="162" t="str">
        <f>IF(C377="","",SUBTOTAL(3,$C$4:C377))</f>
        <v/>
      </c>
      <c r="B377" s="162"/>
      <c r="D377" s="164"/>
      <c r="E377" s="165"/>
      <c r="F377" s="164"/>
      <c r="G377" s="169"/>
      <c r="H377" s="165"/>
      <c r="I377" s="165"/>
      <c r="J377" s="166"/>
      <c r="K377" s="167"/>
      <c r="L377" s="167"/>
    </row>
    <row r="378" spans="1:12" s="163" customFormat="1" x14ac:dyDescent="0.3">
      <c r="A378" s="162" t="str">
        <f>IF(C378="","",SUBTOTAL(3,$C$4:C378))</f>
        <v/>
      </c>
      <c r="B378" s="162"/>
      <c r="D378" s="164"/>
      <c r="E378" s="165"/>
      <c r="F378" s="164"/>
      <c r="G378" s="169"/>
      <c r="H378" s="165"/>
      <c r="I378" s="165"/>
      <c r="J378" s="166"/>
      <c r="K378" s="167"/>
      <c r="L378" s="167"/>
    </row>
    <row r="379" spans="1:12" s="163" customFormat="1" x14ac:dyDescent="0.3">
      <c r="A379" s="162" t="str">
        <f>IF(C379="","",SUBTOTAL(3,$C$4:C379))</f>
        <v/>
      </c>
      <c r="B379" s="162"/>
      <c r="D379" s="164"/>
      <c r="E379" s="165"/>
      <c r="F379" s="164"/>
      <c r="G379" s="169"/>
      <c r="H379" s="165"/>
      <c r="I379" s="165"/>
      <c r="J379" s="166"/>
      <c r="K379" s="167"/>
      <c r="L379" s="167"/>
    </row>
    <row r="380" spans="1:12" s="163" customFormat="1" x14ac:dyDescent="0.3">
      <c r="A380" s="162" t="str">
        <f>IF(C380="","",SUBTOTAL(3,$C$4:C380))</f>
        <v/>
      </c>
      <c r="B380" s="162"/>
      <c r="D380" s="164"/>
      <c r="E380" s="165"/>
      <c r="F380" s="164"/>
      <c r="G380" s="169"/>
      <c r="H380" s="165"/>
      <c r="I380" s="165"/>
      <c r="J380" s="166"/>
      <c r="K380" s="167"/>
      <c r="L380" s="167"/>
    </row>
    <row r="381" spans="1:12" s="163" customFormat="1" x14ac:dyDescent="0.3">
      <c r="A381" s="162" t="str">
        <f>IF(C381="","",SUBTOTAL(3,$C$4:C381))</f>
        <v/>
      </c>
      <c r="B381" s="162"/>
      <c r="D381" s="164"/>
      <c r="E381" s="165"/>
      <c r="F381" s="164"/>
      <c r="G381" s="169"/>
      <c r="H381" s="165"/>
      <c r="I381" s="165"/>
      <c r="J381" s="166"/>
      <c r="K381" s="167"/>
      <c r="L381" s="167"/>
    </row>
    <row r="382" spans="1:12" s="163" customFormat="1" x14ac:dyDescent="0.3">
      <c r="A382" s="162" t="str">
        <f>IF(C382="","",SUBTOTAL(3,$C$4:C382))</f>
        <v/>
      </c>
      <c r="B382" s="162"/>
      <c r="D382" s="164"/>
      <c r="E382" s="165"/>
      <c r="F382" s="164"/>
      <c r="G382" s="169"/>
      <c r="H382" s="165"/>
      <c r="I382" s="165"/>
      <c r="J382" s="166"/>
      <c r="K382" s="167"/>
      <c r="L382" s="167"/>
    </row>
    <row r="383" spans="1:12" s="163" customFormat="1" x14ac:dyDescent="0.3">
      <c r="A383" s="162" t="str">
        <f>IF(C383="","",SUBTOTAL(3,$C$4:C383))</f>
        <v/>
      </c>
      <c r="B383" s="162"/>
      <c r="D383" s="164"/>
      <c r="E383" s="165"/>
      <c r="F383" s="164"/>
      <c r="G383" s="169"/>
      <c r="H383" s="165"/>
      <c r="I383" s="165"/>
      <c r="J383" s="166"/>
      <c r="K383" s="167"/>
      <c r="L383" s="167"/>
    </row>
    <row r="384" spans="1:12" s="163" customFormat="1" x14ac:dyDescent="0.3">
      <c r="A384" s="162" t="str">
        <f>IF(C384="","",SUBTOTAL(3,$C$4:C384))</f>
        <v/>
      </c>
      <c r="B384" s="162"/>
      <c r="D384" s="164"/>
      <c r="E384" s="165"/>
      <c r="F384" s="164"/>
      <c r="G384" s="169"/>
      <c r="H384" s="165"/>
      <c r="I384" s="165"/>
      <c r="J384" s="166"/>
      <c r="K384" s="167"/>
      <c r="L384" s="167"/>
    </row>
    <row r="385" spans="1:12" s="163" customFormat="1" x14ac:dyDescent="0.3">
      <c r="A385" s="162" t="str">
        <f>IF(C385="","",SUBTOTAL(3,$C$4:C385))</f>
        <v/>
      </c>
      <c r="B385" s="162"/>
      <c r="D385" s="164"/>
      <c r="E385" s="165"/>
      <c r="F385" s="164"/>
      <c r="G385" s="169"/>
      <c r="H385" s="165"/>
      <c r="I385" s="165"/>
      <c r="J385" s="166"/>
      <c r="K385" s="167"/>
      <c r="L385" s="167"/>
    </row>
    <row r="386" spans="1:12" s="163" customFormat="1" x14ac:dyDescent="0.3">
      <c r="A386" s="162" t="str">
        <f>IF(C386="","",SUBTOTAL(3,$C$4:C386))</f>
        <v/>
      </c>
      <c r="B386" s="162"/>
      <c r="D386" s="164"/>
      <c r="E386" s="165"/>
      <c r="F386" s="164"/>
      <c r="G386" s="169"/>
      <c r="H386" s="165"/>
      <c r="I386" s="165"/>
      <c r="J386" s="166"/>
      <c r="K386" s="167"/>
      <c r="L386" s="167"/>
    </row>
    <row r="387" spans="1:12" s="163" customFormat="1" x14ac:dyDescent="0.3">
      <c r="A387" s="162" t="str">
        <f>IF(C387="","",SUBTOTAL(3,$C$4:C387))</f>
        <v/>
      </c>
      <c r="B387" s="162"/>
      <c r="D387" s="164"/>
      <c r="E387" s="165"/>
      <c r="F387" s="164"/>
      <c r="G387" s="169"/>
      <c r="H387" s="165"/>
      <c r="I387" s="165"/>
      <c r="J387" s="166"/>
      <c r="K387" s="167"/>
      <c r="L387" s="167"/>
    </row>
    <row r="388" spans="1:12" s="163" customFormat="1" x14ac:dyDescent="0.3">
      <c r="A388" s="162" t="str">
        <f>IF(C388="","",SUBTOTAL(3,$C$4:C388))</f>
        <v/>
      </c>
      <c r="B388" s="162"/>
      <c r="D388" s="164"/>
      <c r="E388" s="165"/>
      <c r="F388" s="164"/>
      <c r="G388" s="169"/>
      <c r="H388" s="165"/>
      <c r="I388" s="165"/>
      <c r="J388" s="166"/>
      <c r="K388" s="167"/>
      <c r="L388" s="167"/>
    </row>
    <row r="389" spans="1:12" s="163" customFormat="1" x14ac:dyDescent="0.3">
      <c r="A389" s="162" t="str">
        <f>IF(C389="","",SUBTOTAL(3,$C$4:C389))</f>
        <v/>
      </c>
      <c r="B389" s="162"/>
      <c r="D389" s="164"/>
      <c r="E389" s="165"/>
      <c r="F389" s="164"/>
      <c r="G389" s="169"/>
      <c r="H389" s="165"/>
      <c r="I389" s="165"/>
      <c r="J389" s="166"/>
      <c r="K389" s="167"/>
      <c r="L389" s="167"/>
    </row>
    <row r="390" spans="1:12" s="163" customFormat="1" x14ac:dyDescent="0.3">
      <c r="A390" s="162" t="str">
        <f>IF(C390="","",SUBTOTAL(3,$C$4:C390))</f>
        <v/>
      </c>
      <c r="B390" s="162"/>
      <c r="D390" s="164"/>
      <c r="E390" s="165"/>
      <c r="F390" s="164"/>
      <c r="G390" s="169"/>
      <c r="H390" s="165"/>
      <c r="I390" s="165"/>
      <c r="J390" s="166"/>
      <c r="K390" s="167"/>
      <c r="L390" s="167"/>
    </row>
    <row r="391" spans="1:12" s="163" customFormat="1" x14ac:dyDescent="0.3">
      <c r="A391" s="162" t="str">
        <f>IF(C391="","",SUBTOTAL(3,$C$4:C391))</f>
        <v/>
      </c>
      <c r="B391" s="162"/>
      <c r="D391" s="164"/>
      <c r="E391" s="165"/>
      <c r="F391" s="164"/>
      <c r="G391" s="169"/>
      <c r="H391" s="165"/>
      <c r="I391" s="165"/>
      <c r="J391" s="166"/>
      <c r="K391" s="167"/>
      <c r="L391" s="167"/>
    </row>
    <row r="392" spans="1:12" s="163" customFormat="1" x14ac:dyDescent="0.3">
      <c r="A392" s="162" t="str">
        <f>IF(C392="","",SUBTOTAL(3,$C$4:C392))</f>
        <v/>
      </c>
      <c r="B392" s="162"/>
      <c r="D392" s="164"/>
      <c r="E392" s="165"/>
      <c r="F392" s="164"/>
      <c r="G392" s="169"/>
      <c r="H392" s="165"/>
      <c r="I392" s="165"/>
      <c r="J392" s="166"/>
      <c r="K392" s="167"/>
      <c r="L392" s="167"/>
    </row>
    <row r="393" spans="1:12" s="163" customFormat="1" x14ac:dyDescent="0.3">
      <c r="A393" s="162" t="str">
        <f>IF(C393="","",SUBTOTAL(3,$C$4:C393))</f>
        <v/>
      </c>
      <c r="B393" s="162"/>
      <c r="D393" s="164"/>
      <c r="E393" s="165"/>
      <c r="F393" s="164"/>
      <c r="G393" s="169"/>
      <c r="H393" s="165"/>
      <c r="I393" s="165"/>
      <c r="J393" s="166"/>
      <c r="K393" s="167"/>
      <c r="L393" s="167"/>
    </row>
    <row r="394" spans="1:12" s="163" customFormat="1" x14ac:dyDescent="0.3">
      <c r="A394" s="162" t="str">
        <f>IF(C394="","",SUBTOTAL(3,$C$4:C394))</f>
        <v/>
      </c>
      <c r="B394" s="162"/>
      <c r="D394" s="164"/>
      <c r="E394" s="165"/>
      <c r="F394" s="164"/>
      <c r="G394" s="169"/>
      <c r="H394" s="165"/>
      <c r="I394" s="165"/>
      <c r="J394" s="166"/>
      <c r="K394" s="167"/>
      <c r="L394" s="167"/>
    </row>
    <row r="395" spans="1:12" s="163" customFormat="1" x14ac:dyDescent="0.3">
      <c r="A395" s="162" t="str">
        <f>IF(C395="","",SUBTOTAL(3,$C$4:C395))</f>
        <v/>
      </c>
      <c r="B395" s="162"/>
      <c r="D395" s="164"/>
      <c r="E395" s="165"/>
      <c r="F395" s="164"/>
      <c r="G395" s="169"/>
      <c r="H395" s="165"/>
      <c r="I395" s="165"/>
      <c r="J395" s="166"/>
      <c r="K395" s="167"/>
      <c r="L395" s="167"/>
    </row>
    <row r="396" spans="1:12" s="163" customFormat="1" x14ac:dyDescent="0.3">
      <c r="A396" s="162" t="str">
        <f>IF(C396="","",SUBTOTAL(3,$C$4:C396))</f>
        <v/>
      </c>
      <c r="B396" s="162"/>
      <c r="D396" s="164"/>
      <c r="E396" s="165"/>
      <c r="F396" s="164"/>
      <c r="G396" s="169"/>
      <c r="H396" s="165"/>
      <c r="I396" s="165"/>
      <c r="J396" s="166"/>
      <c r="K396" s="167"/>
      <c r="L396" s="167"/>
    </row>
    <row r="397" spans="1:12" s="163" customFormat="1" x14ac:dyDescent="0.3">
      <c r="A397" s="162" t="str">
        <f>IF(C397="","",SUBTOTAL(3,$C$4:C397))</f>
        <v/>
      </c>
      <c r="B397" s="162"/>
      <c r="D397" s="164"/>
      <c r="E397" s="165"/>
      <c r="F397" s="164"/>
      <c r="G397" s="169"/>
      <c r="H397" s="165"/>
      <c r="I397" s="165"/>
      <c r="J397" s="166"/>
      <c r="K397" s="167"/>
      <c r="L397" s="167"/>
    </row>
    <row r="398" spans="1:12" s="163" customFormat="1" x14ac:dyDescent="0.3">
      <c r="A398" s="162" t="str">
        <f>IF(C398="","",SUBTOTAL(3,$C$4:C398))</f>
        <v/>
      </c>
      <c r="B398" s="162"/>
      <c r="D398" s="164"/>
      <c r="E398" s="165"/>
      <c r="F398" s="164"/>
      <c r="G398" s="169"/>
      <c r="H398" s="165"/>
      <c r="I398" s="165"/>
      <c r="J398" s="166"/>
      <c r="K398" s="167"/>
      <c r="L398" s="167"/>
    </row>
    <row r="399" spans="1:12" s="163" customFormat="1" x14ac:dyDescent="0.3">
      <c r="A399" s="162" t="str">
        <f>IF(C399="","",SUBTOTAL(3,$C$4:C399))</f>
        <v/>
      </c>
      <c r="B399" s="162"/>
      <c r="D399" s="164"/>
      <c r="E399" s="165"/>
      <c r="F399" s="164"/>
      <c r="G399" s="169"/>
      <c r="H399" s="165"/>
      <c r="I399" s="165"/>
      <c r="J399" s="166"/>
      <c r="K399" s="167"/>
      <c r="L399" s="167"/>
    </row>
    <row r="400" spans="1:12" s="163" customFormat="1" x14ac:dyDescent="0.3">
      <c r="A400" s="162" t="str">
        <f>IF(C400="","",SUBTOTAL(3,$C$4:C400))</f>
        <v/>
      </c>
      <c r="B400" s="162"/>
      <c r="D400" s="164"/>
      <c r="E400" s="165"/>
      <c r="F400" s="164"/>
      <c r="G400" s="169"/>
      <c r="H400" s="165"/>
      <c r="I400" s="165"/>
      <c r="J400" s="166"/>
      <c r="K400" s="167"/>
      <c r="L400" s="167"/>
    </row>
    <row r="401" spans="1:12" s="163" customFormat="1" x14ac:dyDescent="0.3">
      <c r="A401" s="162" t="str">
        <f>IF(C401="","",SUBTOTAL(3,$C$4:C401))</f>
        <v/>
      </c>
      <c r="B401" s="162"/>
      <c r="D401" s="164"/>
      <c r="E401" s="165"/>
      <c r="F401" s="164"/>
      <c r="G401" s="169"/>
      <c r="H401" s="165"/>
      <c r="I401" s="165"/>
      <c r="J401" s="166"/>
      <c r="K401" s="167"/>
      <c r="L401" s="167"/>
    </row>
    <row r="402" spans="1:12" s="163" customFormat="1" x14ac:dyDescent="0.3">
      <c r="A402" s="162" t="str">
        <f>IF(C402="","",SUBTOTAL(3,$C$4:C402))</f>
        <v/>
      </c>
      <c r="B402" s="162"/>
      <c r="D402" s="164"/>
      <c r="E402" s="165"/>
      <c r="F402" s="164"/>
      <c r="G402" s="169"/>
      <c r="H402" s="165"/>
      <c r="I402" s="165"/>
      <c r="J402" s="166"/>
      <c r="K402" s="167"/>
      <c r="L402" s="167"/>
    </row>
    <row r="403" spans="1:12" s="163" customFormat="1" x14ac:dyDescent="0.3">
      <c r="A403" s="162" t="str">
        <f>IF(C403="","",SUBTOTAL(3,$C$4:C403))</f>
        <v/>
      </c>
      <c r="B403" s="162"/>
      <c r="D403" s="164"/>
      <c r="E403" s="165"/>
      <c r="F403" s="164"/>
      <c r="G403" s="169"/>
      <c r="H403" s="165"/>
      <c r="I403" s="165"/>
      <c r="J403" s="166"/>
      <c r="K403" s="167"/>
      <c r="L403" s="167"/>
    </row>
    <row r="404" spans="1:12" s="163" customFormat="1" x14ac:dyDescent="0.3">
      <c r="A404" s="162" t="str">
        <f>IF(C404="","",SUBTOTAL(3,$C$4:C404))</f>
        <v/>
      </c>
      <c r="B404" s="162"/>
      <c r="D404" s="164"/>
      <c r="E404" s="165"/>
      <c r="F404" s="164"/>
      <c r="G404" s="169"/>
      <c r="H404" s="165"/>
      <c r="I404" s="165"/>
      <c r="J404" s="166"/>
      <c r="K404" s="167"/>
      <c r="L404" s="167"/>
    </row>
    <row r="405" spans="1:12" s="163" customFormat="1" x14ac:dyDescent="0.3">
      <c r="A405" s="162" t="str">
        <f>IF(C405="","",SUBTOTAL(3,$C$4:C405))</f>
        <v/>
      </c>
      <c r="B405" s="162"/>
      <c r="D405" s="164"/>
      <c r="E405" s="165"/>
      <c r="F405" s="164"/>
      <c r="G405" s="169"/>
      <c r="H405" s="165"/>
      <c r="I405" s="165"/>
      <c r="J405" s="166"/>
      <c r="K405" s="167"/>
      <c r="L405" s="167"/>
    </row>
    <row r="406" spans="1:12" s="163" customFormat="1" x14ac:dyDescent="0.3">
      <c r="A406" s="162" t="str">
        <f>IF(C406="","",SUBTOTAL(3,$C$4:C406))</f>
        <v/>
      </c>
      <c r="B406" s="162"/>
      <c r="D406" s="164"/>
      <c r="E406" s="165"/>
      <c r="F406" s="164"/>
      <c r="G406" s="169"/>
      <c r="H406" s="165"/>
      <c r="I406" s="165"/>
      <c r="J406" s="166"/>
      <c r="K406" s="167"/>
      <c r="L406" s="167"/>
    </row>
    <row r="407" spans="1:12" s="163" customFormat="1" x14ac:dyDescent="0.3">
      <c r="A407" s="162" t="str">
        <f>IF(C407="","",SUBTOTAL(3,$C$4:C407))</f>
        <v/>
      </c>
      <c r="B407" s="162"/>
      <c r="D407" s="164"/>
      <c r="E407" s="165"/>
      <c r="F407" s="164"/>
      <c r="G407" s="169"/>
      <c r="H407" s="165"/>
      <c r="I407" s="165"/>
      <c r="J407" s="166"/>
      <c r="K407" s="167"/>
      <c r="L407" s="167"/>
    </row>
    <row r="408" spans="1:12" s="163" customFormat="1" x14ac:dyDescent="0.3">
      <c r="A408" s="162" t="str">
        <f>IF(C408="","",SUBTOTAL(3,$C$4:C408))</f>
        <v/>
      </c>
      <c r="B408" s="162"/>
      <c r="D408" s="164"/>
      <c r="E408" s="165"/>
      <c r="F408" s="164"/>
      <c r="G408" s="169"/>
      <c r="H408" s="165"/>
      <c r="I408" s="165"/>
      <c r="J408" s="166"/>
      <c r="K408" s="167"/>
      <c r="L408" s="167"/>
    </row>
    <row r="409" spans="1:12" s="163" customFormat="1" x14ac:dyDescent="0.3">
      <c r="A409" s="162" t="str">
        <f>IF(C409="","",SUBTOTAL(3,$C$4:C409))</f>
        <v/>
      </c>
      <c r="B409" s="162"/>
      <c r="D409" s="164"/>
      <c r="E409" s="165"/>
      <c r="F409" s="164"/>
      <c r="G409" s="169"/>
      <c r="H409" s="165"/>
      <c r="I409" s="165"/>
      <c r="J409" s="166"/>
      <c r="K409" s="167"/>
      <c r="L409" s="167"/>
    </row>
    <row r="410" spans="1:12" s="163" customFormat="1" x14ac:dyDescent="0.3">
      <c r="A410" s="162" t="str">
        <f>IF(C410="","",SUBTOTAL(3,$C$4:C410))</f>
        <v/>
      </c>
      <c r="B410" s="162"/>
      <c r="D410" s="164"/>
      <c r="E410" s="165"/>
      <c r="F410" s="164"/>
      <c r="G410" s="169"/>
      <c r="H410" s="165"/>
      <c r="I410" s="165"/>
      <c r="J410" s="166"/>
      <c r="K410" s="167"/>
      <c r="L410" s="167"/>
    </row>
    <row r="411" spans="1:12" s="163" customFormat="1" x14ac:dyDescent="0.3">
      <c r="A411" s="162" t="str">
        <f>IF(C411="","",SUBTOTAL(3,$C$4:C411))</f>
        <v/>
      </c>
      <c r="B411" s="162"/>
      <c r="D411" s="164"/>
      <c r="E411" s="165"/>
      <c r="F411" s="164"/>
      <c r="G411" s="169"/>
      <c r="H411" s="165"/>
      <c r="I411" s="165"/>
      <c r="J411" s="166"/>
      <c r="K411" s="167"/>
      <c r="L411" s="167"/>
    </row>
    <row r="412" spans="1:12" s="163" customFormat="1" x14ac:dyDescent="0.3">
      <c r="A412" s="162" t="str">
        <f>IF(C412="","",SUBTOTAL(3,$C$4:C412))</f>
        <v/>
      </c>
      <c r="B412" s="162"/>
      <c r="D412" s="164"/>
      <c r="E412" s="165"/>
      <c r="F412" s="164"/>
      <c r="G412" s="169"/>
      <c r="H412" s="165"/>
      <c r="I412" s="165"/>
      <c r="J412" s="166"/>
      <c r="K412" s="167"/>
      <c r="L412" s="167"/>
    </row>
    <row r="413" spans="1:12" s="163" customFormat="1" x14ac:dyDescent="0.3">
      <c r="A413" s="162" t="str">
        <f>IF(C413="","",SUBTOTAL(3,$C$4:C413))</f>
        <v/>
      </c>
      <c r="B413" s="162"/>
      <c r="D413" s="164"/>
      <c r="E413" s="165"/>
      <c r="F413" s="164"/>
      <c r="G413" s="169"/>
      <c r="H413" s="165"/>
      <c r="I413" s="165"/>
      <c r="J413" s="166"/>
      <c r="K413" s="167"/>
      <c r="L413" s="167"/>
    </row>
    <row r="414" spans="1:12" s="163" customFormat="1" x14ac:dyDescent="0.3">
      <c r="A414" s="162" t="str">
        <f>IF(C414="","",SUBTOTAL(3,$C$4:C414))</f>
        <v/>
      </c>
      <c r="B414" s="162"/>
      <c r="D414" s="164"/>
      <c r="E414" s="165"/>
      <c r="F414" s="164"/>
      <c r="G414" s="169"/>
      <c r="H414" s="165"/>
      <c r="I414" s="165"/>
      <c r="J414" s="166"/>
      <c r="K414" s="167"/>
      <c r="L414" s="167"/>
    </row>
    <row r="415" spans="1:12" s="163" customFormat="1" x14ac:dyDescent="0.3">
      <c r="A415" s="162" t="str">
        <f>IF(C415="","",SUBTOTAL(3,$C$4:C415))</f>
        <v/>
      </c>
      <c r="B415" s="162"/>
      <c r="D415" s="164"/>
      <c r="E415" s="165"/>
      <c r="F415" s="164"/>
      <c r="G415" s="169"/>
      <c r="H415" s="165"/>
      <c r="I415" s="165"/>
      <c r="J415" s="166"/>
      <c r="K415" s="167"/>
      <c r="L415" s="167"/>
    </row>
    <row r="416" spans="1:12" s="163" customFormat="1" x14ac:dyDescent="0.3">
      <c r="A416" s="162" t="str">
        <f>IF(C416="","",SUBTOTAL(3,$C$4:C416))</f>
        <v/>
      </c>
      <c r="B416" s="162"/>
      <c r="D416" s="164"/>
      <c r="E416" s="165"/>
      <c r="F416" s="164"/>
      <c r="G416" s="169"/>
      <c r="H416" s="165"/>
      <c r="I416" s="165"/>
      <c r="J416" s="166"/>
      <c r="K416" s="167"/>
      <c r="L416" s="167"/>
    </row>
    <row r="417" spans="1:12" s="163" customFormat="1" x14ac:dyDescent="0.3">
      <c r="A417" s="162" t="str">
        <f>IF(C417="","",SUBTOTAL(3,$C$4:C417))</f>
        <v/>
      </c>
      <c r="B417" s="162"/>
      <c r="D417" s="164"/>
      <c r="E417" s="165"/>
      <c r="F417" s="164"/>
      <c r="G417" s="169"/>
      <c r="H417" s="165"/>
      <c r="I417" s="165"/>
      <c r="J417" s="166"/>
      <c r="K417" s="167"/>
      <c r="L417" s="167"/>
    </row>
    <row r="418" spans="1:12" s="163" customFormat="1" x14ac:dyDescent="0.3">
      <c r="A418" s="162" t="str">
        <f>IF(C418="","",SUBTOTAL(3,$C$4:C418))</f>
        <v/>
      </c>
      <c r="B418" s="162"/>
      <c r="D418" s="164"/>
      <c r="E418" s="165"/>
      <c r="F418" s="164"/>
      <c r="G418" s="169"/>
      <c r="H418" s="165"/>
      <c r="I418" s="165"/>
      <c r="J418" s="166"/>
      <c r="K418" s="167"/>
      <c r="L418" s="167"/>
    </row>
    <row r="419" spans="1:12" s="163" customFormat="1" x14ac:dyDescent="0.3">
      <c r="A419" s="162" t="str">
        <f>IF(C419="","",SUBTOTAL(3,$C$4:C419))</f>
        <v/>
      </c>
      <c r="B419" s="162"/>
      <c r="D419" s="164"/>
      <c r="E419" s="165"/>
      <c r="F419" s="164"/>
      <c r="G419" s="169"/>
      <c r="H419" s="165"/>
      <c r="I419" s="165"/>
      <c r="J419" s="166"/>
      <c r="K419" s="167"/>
      <c r="L419" s="167"/>
    </row>
    <row r="420" spans="1:12" s="163" customFormat="1" x14ac:dyDescent="0.3">
      <c r="A420" s="162" t="str">
        <f>IF(C420="","",SUBTOTAL(3,$C$4:C420))</f>
        <v/>
      </c>
      <c r="B420" s="162"/>
      <c r="D420" s="164"/>
      <c r="E420" s="165"/>
      <c r="F420" s="164"/>
      <c r="G420" s="169"/>
      <c r="H420" s="165"/>
      <c r="I420" s="165"/>
      <c r="J420" s="166"/>
      <c r="K420" s="167"/>
      <c r="L420" s="167"/>
    </row>
    <row r="421" spans="1:12" s="163" customFormat="1" x14ac:dyDescent="0.3">
      <c r="A421" s="162" t="str">
        <f>IF(C421="","",SUBTOTAL(3,$C$4:C421))</f>
        <v/>
      </c>
      <c r="B421" s="162"/>
      <c r="D421" s="164"/>
      <c r="E421" s="165"/>
      <c r="F421" s="164"/>
      <c r="G421" s="169"/>
      <c r="H421" s="165"/>
      <c r="I421" s="165"/>
      <c r="J421" s="166"/>
      <c r="K421" s="167"/>
      <c r="L421" s="167"/>
    </row>
    <row r="422" spans="1:12" s="163" customFormat="1" x14ac:dyDescent="0.3">
      <c r="A422" s="162" t="str">
        <f>IF(C422="","",SUBTOTAL(3,$C$4:C422))</f>
        <v/>
      </c>
      <c r="B422" s="162"/>
      <c r="D422" s="164"/>
      <c r="E422" s="165"/>
      <c r="F422" s="164"/>
      <c r="G422" s="169"/>
      <c r="H422" s="165"/>
      <c r="I422" s="165"/>
      <c r="J422" s="166"/>
      <c r="K422" s="167"/>
      <c r="L422" s="167"/>
    </row>
    <row r="423" spans="1:12" s="163" customFormat="1" x14ac:dyDescent="0.3">
      <c r="A423" s="162" t="str">
        <f>IF(C423="","",SUBTOTAL(3,$C$4:C423))</f>
        <v/>
      </c>
      <c r="B423" s="162"/>
      <c r="D423" s="164"/>
      <c r="E423" s="165"/>
      <c r="F423" s="164"/>
      <c r="G423" s="169"/>
      <c r="H423" s="165"/>
      <c r="I423" s="165"/>
      <c r="J423" s="166"/>
      <c r="K423" s="167"/>
      <c r="L423" s="167"/>
    </row>
    <row r="424" spans="1:12" s="163" customFormat="1" x14ac:dyDescent="0.3">
      <c r="A424" s="162" t="str">
        <f>IF(C424="","",SUBTOTAL(3,$C$4:C424))</f>
        <v/>
      </c>
      <c r="B424" s="162"/>
      <c r="D424" s="164"/>
      <c r="E424" s="165"/>
      <c r="F424" s="164"/>
      <c r="G424" s="169"/>
      <c r="H424" s="165"/>
      <c r="I424" s="165"/>
      <c r="J424" s="166"/>
      <c r="K424" s="167"/>
      <c r="L424" s="167"/>
    </row>
    <row r="425" spans="1:12" s="163" customFormat="1" x14ac:dyDescent="0.3">
      <c r="A425" s="162" t="str">
        <f>IF(C425="","",SUBTOTAL(3,$C$4:C425))</f>
        <v/>
      </c>
      <c r="B425" s="162"/>
      <c r="D425" s="164"/>
      <c r="E425" s="165"/>
      <c r="F425" s="164"/>
      <c r="G425" s="169"/>
      <c r="H425" s="165"/>
      <c r="I425" s="165"/>
      <c r="J425" s="166"/>
      <c r="K425" s="167"/>
      <c r="L425" s="167"/>
    </row>
    <row r="426" spans="1:12" s="163" customFormat="1" x14ac:dyDescent="0.3">
      <c r="A426" s="162" t="str">
        <f>IF(C426="","",SUBTOTAL(3,$C$4:C426))</f>
        <v/>
      </c>
      <c r="B426" s="162"/>
      <c r="D426" s="164"/>
      <c r="E426" s="165"/>
      <c r="F426" s="164"/>
      <c r="G426" s="169"/>
      <c r="H426" s="165"/>
      <c r="I426" s="165"/>
      <c r="J426" s="166"/>
      <c r="K426" s="167"/>
      <c r="L426" s="167"/>
    </row>
    <row r="427" spans="1:12" s="163" customFormat="1" x14ac:dyDescent="0.3">
      <c r="A427" s="162" t="str">
        <f>IF(C427="","",SUBTOTAL(3,$C$4:C427))</f>
        <v/>
      </c>
      <c r="B427" s="162"/>
      <c r="D427" s="164"/>
      <c r="E427" s="165"/>
      <c r="F427" s="164"/>
      <c r="G427" s="169"/>
      <c r="H427" s="165"/>
      <c r="I427" s="165"/>
      <c r="J427" s="166"/>
      <c r="K427" s="167"/>
      <c r="L427" s="167"/>
    </row>
    <row r="428" spans="1:12" s="163" customFormat="1" x14ac:dyDescent="0.3">
      <c r="A428" s="162" t="str">
        <f>IF(C428="","",SUBTOTAL(3,$C$4:C428))</f>
        <v/>
      </c>
      <c r="B428" s="162"/>
      <c r="D428" s="164"/>
      <c r="E428" s="165"/>
      <c r="F428" s="164"/>
      <c r="G428" s="169"/>
      <c r="H428" s="165"/>
      <c r="I428" s="165"/>
      <c r="J428" s="166"/>
      <c r="K428" s="167"/>
      <c r="L428" s="167"/>
    </row>
    <row r="429" spans="1:12" s="163" customFormat="1" x14ac:dyDescent="0.3">
      <c r="A429" s="162" t="str">
        <f>IF(C429="","",SUBTOTAL(3,$C$4:C429))</f>
        <v/>
      </c>
      <c r="B429" s="162"/>
      <c r="D429" s="164"/>
      <c r="E429" s="165"/>
      <c r="F429" s="164"/>
      <c r="G429" s="169"/>
      <c r="H429" s="165"/>
      <c r="I429" s="165"/>
      <c r="J429" s="166"/>
      <c r="K429" s="167"/>
      <c r="L429" s="167"/>
    </row>
    <row r="430" spans="1:12" s="163" customFormat="1" x14ac:dyDescent="0.3">
      <c r="A430" s="162" t="str">
        <f>IF(C430="","",SUBTOTAL(3,$C$4:C430))</f>
        <v/>
      </c>
      <c r="B430" s="162"/>
      <c r="D430" s="164"/>
      <c r="E430" s="165"/>
      <c r="F430" s="164"/>
      <c r="G430" s="169"/>
      <c r="H430" s="165"/>
      <c r="I430" s="165"/>
      <c r="J430" s="166"/>
      <c r="K430" s="167"/>
      <c r="L430" s="167"/>
    </row>
    <row r="431" spans="1:12" s="163" customFormat="1" x14ac:dyDescent="0.3">
      <c r="A431" s="162" t="str">
        <f>IF(C431="","",SUBTOTAL(3,$C$4:C431))</f>
        <v/>
      </c>
      <c r="B431" s="162"/>
      <c r="D431" s="164"/>
      <c r="E431" s="165"/>
      <c r="F431" s="164"/>
      <c r="G431" s="169"/>
      <c r="H431" s="165"/>
      <c r="I431" s="165"/>
      <c r="J431" s="166"/>
      <c r="K431" s="167"/>
      <c r="L431" s="167"/>
    </row>
    <row r="432" spans="1:12" s="163" customFormat="1" x14ac:dyDescent="0.3">
      <c r="A432" s="162" t="str">
        <f>IF(C432="","",SUBTOTAL(3,$C$4:C432))</f>
        <v/>
      </c>
      <c r="B432" s="162"/>
      <c r="D432" s="164"/>
      <c r="E432" s="165"/>
      <c r="F432" s="164"/>
      <c r="G432" s="169"/>
      <c r="H432" s="165"/>
      <c r="I432" s="165"/>
      <c r="J432" s="166"/>
      <c r="K432" s="167"/>
      <c r="L432" s="167"/>
    </row>
    <row r="433" spans="1:12" s="163" customFormat="1" x14ac:dyDescent="0.3">
      <c r="A433" s="162" t="str">
        <f>IF(C433="","",SUBTOTAL(3,$C$4:C433))</f>
        <v/>
      </c>
      <c r="B433" s="162"/>
      <c r="D433" s="164"/>
      <c r="E433" s="165"/>
      <c r="F433" s="164"/>
      <c r="G433" s="169"/>
      <c r="H433" s="165"/>
      <c r="I433" s="165"/>
      <c r="J433" s="166"/>
      <c r="K433" s="167"/>
      <c r="L433" s="167"/>
    </row>
    <row r="434" spans="1:12" s="163" customFormat="1" x14ac:dyDescent="0.3">
      <c r="A434" s="162" t="str">
        <f>IF(C434="","",SUBTOTAL(3,$C$4:C434))</f>
        <v/>
      </c>
      <c r="B434" s="162"/>
      <c r="D434" s="164"/>
      <c r="E434" s="165"/>
      <c r="F434" s="164"/>
      <c r="G434" s="169"/>
      <c r="H434" s="165"/>
      <c r="I434" s="165"/>
      <c r="J434" s="166"/>
      <c r="K434" s="167"/>
      <c r="L434" s="167"/>
    </row>
    <row r="435" spans="1:12" s="163" customFormat="1" x14ac:dyDescent="0.3">
      <c r="A435" s="162" t="str">
        <f>IF(C435="","",SUBTOTAL(3,$C$4:C435))</f>
        <v/>
      </c>
      <c r="B435" s="162"/>
      <c r="D435" s="164"/>
      <c r="E435" s="165"/>
      <c r="F435" s="164"/>
      <c r="G435" s="169"/>
      <c r="H435" s="165"/>
      <c r="I435" s="165"/>
      <c r="J435" s="166"/>
      <c r="K435" s="167"/>
      <c r="L435" s="167"/>
    </row>
    <row r="436" spans="1:12" s="163" customFormat="1" x14ac:dyDescent="0.3">
      <c r="A436" s="162" t="str">
        <f>IF(C436="","",SUBTOTAL(3,$C$4:C436))</f>
        <v/>
      </c>
      <c r="B436" s="162"/>
      <c r="D436" s="164"/>
      <c r="E436" s="165"/>
      <c r="F436" s="164"/>
      <c r="G436" s="169"/>
      <c r="H436" s="165"/>
      <c r="I436" s="165"/>
      <c r="J436" s="166"/>
      <c r="K436" s="167"/>
      <c r="L436" s="167"/>
    </row>
    <row r="437" spans="1:12" s="163" customFormat="1" x14ac:dyDescent="0.3">
      <c r="A437" s="162" t="str">
        <f>IF(C437="","",SUBTOTAL(3,$C$4:C437))</f>
        <v/>
      </c>
      <c r="B437" s="162"/>
      <c r="D437" s="164"/>
      <c r="E437" s="165"/>
      <c r="F437" s="164"/>
      <c r="G437" s="169"/>
      <c r="H437" s="165"/>
      <c r="I437" s="165"/>
      <c r="J437" s="166"/>
      <c r="K437" s="167"/>
      <c r="L437" s="167"/>
    </row>
    <row r="438" spans="1:12" s="163" customFormat="1" x14ac:dyDescent="0.3">
      <c r="A438" s="162" t="str">
        <f>IF(C438="","",SUBTOTAL(3,$C$4:C438))</f>
        <v/>
      </c>
      <c r="B438" s="162"/>
      <c r="D438" s="164"/>
      <c r="E438" s="165"/>
      <c r="F438" s="164"/>
      <c r="G438" s="169"/>
      <c r="H438" s="165"/>
      <c r="I438" s="165"/>
      <c r="J438" s="166"/>
      <c r="K438" s="167"/>
      <c r="L438" s="167"/>
    </row>
    <row r="439" spans="1:12" s="163" customFormat="1" x14ac:dyDescent="0.3">
      <c r="A439" s="162" t="str">
        <f>IF(C439="","",SUBTOTAL(3,$C$4:C439))</f>
        <v/>
      </c>
      <c r="B439" s="162"/>
      <c r="D439" s="164"/>
      <c r="E439" s="165"/>
      <c r="F439" s="164"/>
      <c r="G439" s="169"/>
      <c r="H439" s="165"/>
      <c r="I439" s="165"/>
      <c r="J439" s="166"/>
      <c r="K439" s="167"/>
      <c r="L439" s="167"/>
    </row>
    <row r="440" spans="1:12" s="163" customFormat="1" x14ac:dyDescent="0.3">
      <c r="A440" s="162" t="str">
        <f>IF(C440="","",SUBTOTAL(3,$C$4:C440))</f>
        <v/>
      </c>
      <c r="B440" s="162"/>
      <c r="D440" s="164"/>
      <c r="E440" s="165"/>
      <c r="F440" s="164"/>
      <c r="G440" s="169"/>
      <c r="H440" s="165"/>
      <c r="I440" s="165"/>
      <c r="J440" s="166"/>
      <c r="K440" s="167"/>
      <c r="L440" s="167"/>
    </row>
    <row r="441" spans="1:12" s="163" customFormat="1" x14ac:dyDescent="0.3">
      <c r="A441" s="162" t="str">
        <f>IF(C441="","",SUBTOTAL(3,$C$4:C441))</f>
        <v/>
      </c>
      <c r="B441" s="162"/>
      <c r="D441" s="164"/>
      <c r="E441" s="165"/>
      <c r="F441" s="164"/>
      <c r="G441" s="169"/>
      <c r="H441" s="165"/>
      <c r="I441" s="165"/>
      <c r="J441" s="166"/>
      <c r="K441" s="167"/>
      <c r="L441" s="167"/>
    </row>
    <row r="442" spans="1:12" s="163" customFormat="1" x14ac:dyDescent="0.3">
      <c r="A442" s="162" t="str">
        <f>IF(C442="","",SUBTOTAL(3,$C$4:C442))</f>
        <v/>
      </c>
      <c r="B442" s="162"/>
      <c r="D442" s="164"/>
      <c r="E442" s="165"/>
      <c r="F442" s="164"/>
      <c r="G442" s="169"/>
      <c r="H442" s="165"/>
      <c r="I442" s="165"/>
      <c r="J442" s="166"/>
      <c r="K442" s="167"/>
      <c r="L442" s="167"/>
    </row>
    <row r="443" spans="1:12" s="163" customFormat="1" x14ac:dyDescent="0.3">
      <c r="A443" s="162" t="str">
        <f>IF(C443="","",SUBTOTAL(3,$C$4:C443))</f>
        <v/>
      </c>
      <c r="B443" s="162"/>
      <c r="D443" s="164"/>
      <c r="E443" s="165"/>
      <c r="F443" s="164"/>
      <c r="G443" s="169"/>
      <c r="H443" s="165"/>
      <c r="I443" s="165"/>
      <c r="J443" s="166"/>
      <c r="K443" s="167"/>
      <c r="L443" s="167"/>
    </row>
    <row r="444" spans="1:12" s="163" customFormat="1" x14ac:dyDescent="0.3">
      <c r="A444" s="162" t="str">
        <f>IF(C444="","",SUBTOTAL(3,$C$4:C444))</f>
        <v/>
      </c>
      <c r="B444" s="162"/>
      <c r="D444" s="164"/>
      <c r="E444" s="165"/>
      <c r="F444" s="164"/>
      <c r="G444" s="169"/>
      <c r="H444" s="165"/>
      <c r="I444" s="165"/>
      <c r="J444" s="166"/>
      <c r="K444" s="167"/>
      <c r="L444" s="167"/>
    </row>
    <row r="445" spans="1:12" s="163" customFormat="1" x14ac:dyDescent="0.3">
      <c r="A445" s="162" t="str">
        <f>IF(C445="","",SUBTOTAL(3,$C$4:C445))</f>
        <v/>
      </c>
      <c r="B445" s="162"/>
      <c r="D445" s="164"/>
      <c r="E445" s="165"/>
      <c r="F445" s="164"/>
      <c r="G445" s="169"/>
      <c r="H445" s="165"/>
      <c r="I445" s="165"/>
      <c r="J445" s="166"/>
      <c r="K445" s="167"/>
      <c r="L445" s="167"/>
    </row>
    <row r="446" spans="1:12" s="163" customFormat="1" x14ac:dyDescent="0.3">
      <c r="A446" s="162" t="str">
        <f>IF(C446="","",SUBTOTAL(3,$C$4:C446))</f>
        <v/>
      </c>
      <c r="B446" s="162"/>
      <c r="D446" s="164"/>
      <c r="E446" s="165"/>
      <c r="F446" s="164"/>
      <c r="G446" s="169"/>
      <c r="H446" s="165"/>
      <c r="I446" s="165"/>
      <c r="J446" s="166"/>
      <c r="K446" s="167"/>
      <c r="L446" s="167"/>
    </row>
    <row r="447" spans="1:12" s="163" customFormat="1" x14ac:dyDescent="0.3">
      <c r="A447" s="162" t="str">
        <f>IF(C447="","",SUBTOTAL(3,$C$4:C447))</f>
        <v/>
      </c>
      <c r="B447" s="162"/>
      <c r="D447" s="164"/>
      <c r="E447" s="165"/>
      <c r="F447" s="164"/>
      <c r="G447" s="169"/>
      <c r="H447" s="165"/>
      <c r="I447" s="165"/>
      <c r="J447" s="166"/>
      <c r="K447" s="167"/>
      <c r="L447" s="167"/>
    </row>
    <row r="448" spans="1:12" s="163" customFormat="1" x14ac:dyDescent="0.3">
      <c r="A448" s="162" t="str">
        <f>IF(C448="","",SUBTOTAL(3,$C$4:C448))</f>
        <v/>
      </c>
      <c r="B448" s="162"/>
      <c r="D448" s="164"/>
      <c r="E448" s="165"/>
      <c r="F448" s="164"/>
      <c r="G448" s="169"/>
      <c r="H448" s="165"/>
      <c r="I448" s="165"/>
      <c r="J448" s="166"/>
      <c r="K448" s="167"/>
      <c r="L448" s="167"/>
    </row>
    <row r="449" spans="1:12" s="163" customFormat="1" x14ac:dyDescent="0.3">
      <c r="A449" s="162" t="str">
        <f>IF(C449="","",SUBTOTAL(3,$C$4:C449))</f>
        <v/>
      </c>
      <c r="B449" s="162"/>
      <c r="D449" s="164"/>
      <c r="E449" s="165"/>
      <c r="F449" s="164"/>
      <c r="G449" s="169"/>
      <c r="H449" s="165"/>
      <c r="I449" s="165"/>
      <c r="J449" s="166"/>
      <c r="K449" s="167"/>
      <c r="L449" s="167"/>
    </row>
    <row r="450" spans="1:12" s="163" customFormat="1" x14ac:dyDescent="0.3">
      <c r="A450" s="162" t="str">
        <f>IF(C450="","",SUBTOTAL(3,$C$4:C450))</f>
        <v/>
      </c>
      <c r="B450" s="162"/>
      <c r="D450" s="164"/>
      <c r="E450" s="165"/>
      <c r="F450" s="164"/>
      <c r="G450" s="169"/>
      <c r="H450" s="165"/>
      <c r="I450" s="165"/>
      <c r="J450" s="166"/>
      <c r="K450" s="167"/>
      <c r="L450" s="167"/>
    </row>
    <row r="451" spans="1:12" s="163" customFormat="1" x14ac:dyDescent="0.3">
      <c r="A451" s="162" t="str">
        <f>IF(C451="","",SUBTOTAL(3,$C$4:C451))</f>
        <v/>
      </c>
      <c r="B451" s="162"/>
      <c r="D451" s="164"/>
      <c r="E451" s="165"/>
      <c r="F451" s="164"/>
      <c r="G451" s="169"/>
      <c r="H451" s="165"/>
      <c r="I451" s="165"/>
      <c r="J451" s="166"/>
      <c r="K451" s="167"/>
      <c r="L451" s="167"/>
    </row>
    <row r="452" spans="1:12" s="163" customFormat="1" x14ac:dyDescent="0.3">
      <c r="A452" s="162" t="str">
        <f>IF(C452="","",SUBTOTAL(3,$C$4:C452))</f>
        <v/>
      </c>
      <c r="B452" s="162"/>
      <c r="D452" s="164"/>
      <c r="E452" s="165"/>
      <c r="F452" s="164"/>
      <c r="G452" s="169"/>
      <c r="H452" s="165"/>
      <c r="I452" s="165"/>
      <c r="J452" s="166"/>
      <c r="K452" s="167"/>
      <c r="L452" s="167"/>
    </row>
    <row r="453" spans="1:12" s="163" customFormat="1" x14ac:dyDescent="0.3">
      <c r="A453" s="162" t="str">
        <f>IF(C453="","",SUBTOTAL(3,$C$4:C453))</f>
        <v/>
      </c>
      <c r="B453" s="162"/>
      <c r="D453" s="164"/>
      <c r="E453" s="165"/>
      <c r="F453" s="164"/>
      <c r="G453" s="169"/>
      <c r="H453" s="165"/>
      <c r="I453" s="165"/>
      <c r="J453" s="166"/>
      <c r="K453" s="167"/>
      <c r="L453" s="167"/>
    </row>
    <row r="454" spans="1:12" s="163" customFormat="1" x14ac:dyDescent="0.3">
      <c r="A454" s="162" t="str">
        <f>IF(C454="","",SUBTOTAL(3,$C$4:C454))</f>
        <v/>
      </c>
      <c r="B454" s="162"/>
      <c r="D454" s="164"/>
      <c r="E454" s="165"/>
      <c r="F454" s="164"/>
      <c r="G454" s="169"/>
      <c r="H454" s="165"/>
      <c r="I454" s="165"/>
      <c r="J454" s="166"/>
      <c r="K454" s="167"/>
      <c r="L454" s="167"/>
    </row>
    <row r="455" spans="1:12" s="163" customFormat="1" x14ac:dyDescent="0.3">
      <c r="A455" s="162" t="str">
        <f>IF(C455="","",SUBTOTAL(3,$C$4:C455))</f>
        <v/>
      </c>
      <c r="B455" s="162"/>
      <c r="D455" s="164"/>
      <c r="E455" s="165"/>
      <c r="F455" s="164"/>
      <c r="G455" s="169"/>
      <c r="H455" s="165"/>
      <c r="I455" s="165"/>
      <c r="J455" s="166"/>
      <c r="K455" s="167"/>
      <c r="L455" s="167"/>
    </row>
    <row r="456" spans="1:12" s="163" customFormat="1" x14ac:dyDescent="0.3">
      <c r="A456" s="162" t="str">
        <f>IF(C456="","",SUBTOTAL(3,$C$4:C456))</f>
        <v/>
      </c>
      <c r="B456" s="162"/>
      <c r="D456" s="164"/>
      <c r="E456" s="165"/>
      <c r="F456" s="164"/>
      <c r="G456" s="169"/>
      <c r="H456" s="165"/>
      <c r="I456" s="165"/>
      <c r="J456" s="166"/>
      <c r="K456" s="167"/>
      <c r="L456" s="167"/>
    </row>
    <row r="457" spans="1:12" s="163" customFormat="1" x14ac:dyDescent="0.3">
      <c r="A457" s="162" t="str">
        <f>IF(C457="","",SUBTOTAL(3,$C$4:C457))</f>
        <v/>
      </c>
      <c r="B457" s="162"/>
      <c r="D457" s="164"/>
      <c r="E457" s="165"/>
      <c r="F457" s="164"/>
      <c r="G457" s="169"/>
      <c r="H457" s="165"/>
      <c r="I457" s="165"/>
      <c r="J457" s="166"/>
      <c r="K457" s="167"/>
      <c r="L457" s="167"/>
    </row>
    <row r="458" spans="1:12" s="163" customFormat="1" x14ac:dyDescent="0.3">
      <c r="A458" s="162" t="str">
        <f>IF(C458="","",SUBTOTAL(3,$C$4:C458))</f>
        <v/>
      </c>
      <c r="B458" s="162"/>
      <c r="D458" s="164"/>
      <c r="E458" s="165"/>
      <c r="F458" s="164"/>
      <c r="G458" s="169"/>
      <c r="H458" s="165"/>
      <c r="I458" s="165"/>
      <c r="J458" s="166"/>
      <c r="K458" s="167"/>
      <c r="L458" s="167"/>
    </row>
    <row r="459" spans="1:12" s="163" customFormat="1" x14ac:dyDescent="0.3">
      <c r="A459" s="162" t="str">
        <f>IF(C459="","",SUBTOTAL(3,$C$4:C459))</f>
        <v/>
      </c>
      <c r="B459" s="162"/>
      <c r="D459" s="164"/>
      <c r="E459" s="165"/>
      <c r="F459" s="164"/>
      <c r="G459" s="169"/>
      <c r="H459" s="165"/>
      <c r="I459" s="165"/>
      <c r="J459" s="166"/>
      <c r="K459" s="167"/>
      <c r="L459" s="167"/>
    </row>
    <row r="460" spans="1:12" s="163" customFormat="1" x14ac:dyDescent="0.3">
      <c r="A460" s="162" t="str">
        <f>IF(C460="","",SUBTOTAL(3,$C$4:C460))</f>
        <v/>
      </c>
      <c r="B460" s="162"/>
      <c r="D460" s="164"/>
      <c r="E460" s="165"/>
      <c r="F460" s="164"/>
      <c r="G460" s="169"/>
      <c r="H460" s="165"/>
      <c r="I460" s="165"/>
      <c r="J460" s="166"/>
      <c r="K460" s="167"/>
      <c r="L460" s="167"/>
    </row>
    <row r="461" spans="1:12" s="163" customFormat="1" x14ac:dyDescent="0.3">
      <c r="A461" s="162" t="str">
        <f>IF(C461="","",SUBTOTAL(3,$C$4:C461))</f>
        <v/>
      </c>
      <c r="B461" s="162"/>
      <c r="D461" s="164"/>
      <c r="E461" s="165"/>
      <c r="F461" s="164"/>
      <c r="G461" s="169"/>
      <c r="H461" s="165"/>
      <c r="I461" s="165"/>
      <c r="J461" s="166"/>
      <c r="K461" s="167"/>
      <c r="L461" s="167"/>
    </row>
    <row r="462" spans="1:12" s="163" customFormat="1" x14ac:dyDescent="0.3">
      <c r="A462" s="162" t="str">
        <f>IF(C462="","",SUBTOTAL(3,$C$4:C462))</f>
        <v/>
      </c>
      <c r="B462" s="162"/>
      <c r="D462" s="164"/>
      <c r="E462" s="165"/>
      <c r="F462" s="164"/>
      <c r="G462" s="169"/>
      <c r="H462" s="165"/>
      <c r="I462" s="165"/>
      <c r="J462" s="166"/>
      <c r="K462" s="167"/>
      <c r="L462" s="167"/>
    </row>
  </sheetData>
  <autoFilter ref="A3:K462" xr:uid="{00000000-0009-0000-0000-000001000000}"/>
  <conditionalFormatting sqref="C4:L512">
    <cfRule type="expression" dxfId="10" priority="2">
      <formula>$I4-TODAY()&lt;$I$2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51DA-DBB5-4AE2-BC20-07B7F5C36CB6}">
  <dimension ref="A1:H19"/>
  <sheetViews>
    <sheetView zoomScaleNormal="100" workbookViewId="0">
      <selection activeCell="I12" sqref="I12"/>
    </sheetView>
  </sheetViews>
  <sheetFormatPr defaultColWidth="9.109375" defaultRowHeight="24.6" x14ac:dyDescent="0.4"/>
  <cols>
    <col min="1" max="1" width="6.109375" style="84" customWidth="1"/>
    <col min="2" max="2" width="9.88671875" style="84" customWidth="1"/>
    <col min="3" max="3" width="10.5546875" style="84" customWidth="1"/>
    <col min="4" max="4" width="31.109375" style="84" customWidth="1"/>
    <col min="5" max="6" width="15.109375" style="84" customWidth="1"/>
    <col min="7" max="7" width="14.44140625" style="84" customWidth="1"/>
    <col min="8" max="8" width="16" style="84" customWidth="1"/>
    <col min="9" max="16384" width="9.109375" style="84"/>
  </cols>
  <sheetData>
    <row r="1" spans="1:8" ht="29.25" customHeight="1" x14ac:dyDescent="0.4">
      <c r="A1" s="400" t="s">
        <v>1674</v>
      </c>
      <c r="B1" s="400"/>
      <c r="C1" s="400"/>
      <c r="D1" s="400"/>
      <c r="E1" s="400"/>
      <c r="F1" s="400"/>
      <c r="G1" s="400"/>
      <c r="H1" s="400"/>
    </row>
    <row r="2" spans="1:8" s="88" customFormat="1" ht="24.75" customHeight="1" x14ac:dyDescent="0.3">
      <c r="A2" s="85" t="s">
        <v>794</v>
      </c>
      <c r="B2" s="85" t="s">
        <v>1667</v>
      </c>
      <c r="C2" s="85" t="s">
        <v>1668</v>
      </c>
      <c r="D2" s="86" t="s">
        <v>796</v>
      </c>
      <c r="E2" s="86" t="s">
        <v>18</v>
      </c>
      <c r="F2" s="87" t="s">
        <v>1669</v>
      </c>
      <c r="G2" s="87" t="s">
        <v>1670</v>
      </c>
      <c r="H2" s="87" t="s">
        <v>1671</v>
      </c>
    </row>
    <row r="3" spans="1:8" s="93" customFormat="1" ht="24.75" customHeight="1" x14ac:dyDescent="0.25">
      <c r="A3" s="89">
        <v>1</v>
      </c>
      <c r="B3" s="89">
        <v>2025</v>
      </c>
      <c r="C3" s="89"/>
      <c r="D3" s="90"/>
      <c r="E3" s="90"/>
      <c r="F3" s="91"/>
      <c r="G3" s="92"/>
      <c r="H3" s="92"/>
    </row>
    <row r="4" spans="1:8" s="93" customFormat="1" ht="24.75" customHeight="1" x14ac:dyDescent="0.25">
      <c r="A4" s="89"/>
      <c r="B4" s="89"/>
      <c r="C4" s="89"/>
      <c r="D4" s="90"/>
      <c r="E4" s="90"/>
      <c r="F4" s="91"/>
      <c r="G4" s="92"/>
      <c r="H4" s="92"/>
    </row>
    <row r="5" spans="1:8" s="93" customFormat="1" ht="24.75" customHeight="1" x14ac:dyDescent="0.25">
      <c r="A5" s="89"/>
      <c r="B5" s="89"/>
      <c r="C5" s="89"/>
      <c r="D5" s="90"/>
      <c r="E5" s="90"/>
      <c r="F5" s="91"/>
      <c r="G5" s="92"/>
      <c r="H5" s="92"/>
    </row>
    <row r="6" spans="1:8" s="93" customFormat="1" ht="24.75" customHeight="1" x14ac:dyDescent="0.25">
      <c r="A6" s="89"/>
      <c r="B6" s="89"/>
      <c r="C6" s="89"/>
      <c r="D6" s="90"/>
      <c r="E6" s="90"/>
      <c r="F6" s="91"/>
      <c r="G6" s="92"/>
      <c r="H6" s="92"/>
    </row>
    <row r="7" spans="1:8" s="93" customFormat="1" ht="24.75" customHeight="1" x14ac:dyDescent="0.25">
      <c r="A7" s="89"/>
      <c r="B7" s="89"/>
      <c r="C7" s="89"/>
      <c r="D7" s="90"/>
      <c r="E7" s="90"/>
      <c r="F7" s="91"/>
      <c r="G7" s="92"/>
      <c r="H7" s="92"/>
    </row>
    <row r="8" spans="1:8" s="93" customFormat="1" ht="24.75" customHeight="1" x14ac:dyDescent="0.25">
      <c r="A8" s="89"/>
      <c r="B8" s="89"/>
      <c r="C8" s="89"/>
      <c r="D8" s="90"/>
      <c r="E8" s="90"/>
      <c r="F8" s="91"/>
      <c r="G8" s="92"/>
      <c r="H8" s="92"/>
    </row>
    <row r="9" spans="1:8" s="93" customFormat="1" ht="24.75" customHeight="1" x14ac:dyDescent="0.25">
      <c r="A9" s="89"/>
      <c r="B9" s="89"/>
      <c r="C9" s="89"/>
      <c r="D9" s="91"/>
      <c r="E9" s="91"/>
      <c r="F9" s="91"/>
      <c r="G9" s="92"/>
      <c r="H9" s="92"/>
    </row>
    <row r="10" spans="1:8" s="93" customFormat="1" ht="24.75" customHeight="1" x14ac:dyDescent="0.25">
      <c r="A10" s="89"/>
      <c r="B10" s="89"/>
      <c r="C10" s="89"/>
      <c r="D10" s="94"/>
      <c r="E10" s="94"/>
      <c r="F10" s="91"/>
      <c r="G10" s="92"/>
      <c r="H10" s="92"/>
    </row>
    <row r="11" spans="1:8" s="93" customFormat="1" ht="24.75" customHeight="1" x14ac:dyDescent="0.25">
      <c r="A11" s="89"/>
      <c r="B11" s="89"/>
      <c r="C11" s="89"/>
      <c r="D11" s="94"/>
      <c r="E11" s="94"/>
      <c r="F11" s="91"/>
      <c r="G11" s="92"/>
      <c r="H11" s="92"/>
    </row>
    <row r="12" spans="1:8" s="93" customFormat="1" ht="24.75" customHeight="1" x14ac:dyDescent="0.25">
      <c r="A12" s="89"/>
      <c r="B12" s="89"/>
      <c r="C12" s="89"/>
      <c r="D12" s="94"/>
      <c r="E12" s="94"/>
      <c r="F12" s="91"/>
      <c r="G12" s="92"/>
      <c r="H12" s="92"/>
    </row>
    <row r="13" spans="1:8" s="93" customFormat="1" ht="24.75" customHeight="1" x14ac:dyDescent="0.25">
      <c r="A13" s="89"/>
      <c r="B13" s="89"/>
      <c r="C13" s="89"/>
      <c r="D13" s="94"/>
      <c r="E13" s="94"/>
      <c r="F13" s="91"/>
      <c r="G13" s="92"/>
      <c r="H13" s="92"/>
    </row>
    <row r="14" spans="1:8" s="93" customFormat="1" ht="24.75" customHeight="1" x14ac:dyDescent="0.25">
      <c r="A14" s="89"/>
      <c r="B14" s="89"/>
      <c r="C14" s="89"/>
      <c r="D14" s="94"/>
      <c r="E14" s="94"/>
      <c r="F14" s="91"/>
      <c r="G14" s="92"/>
      <c r="H14" s="92"/>
    </row>
    <row r="15" spans="1:8" s="93" customFormat="1" ht="24.75" customHeight="1" x14ac:dyDescent="0.25">
      <c r="A15" s="89"/>
      <c r="B15" s="89"/>
      <c r="C15" s="89"/>
      <c r="D15" s="94"/>
      <c r="E15" s="94"/>
      <c r="F15" s="91"/>
      <c r="G15" s="92"/>
      <c r="H15" s="92"/>
    </row>
    <row r="16" spans="1:8" s="93" customFormat="1" ht="24.75" customHeight="1" x14ac:dyDescent="0.25">
      <c r="A16" s="89"/>
      <c r="B16" s="89"/>
      <c r="C16" s="89"/>
      <c r="D16" s="94"/>
      <c r="E16" s="94"/>
      <c r="F16" s="91"/>
      <c r="G16" s="92"/>
      <c r="H16" s="92"/>
    </row>
    <row r="17" spans="1:8" s="93" customFormat="1" ht="24.75" customHeight="1" x14ac:dyDescent="0.25">
      <c r="A17" s="89"/>
      <c r="B17" s="89"/>
      <c r="C17" s="89"/>
      <c r="D17" s="94"/>
      <c r="E17" s="94"/>
      <c r="F17" s="91"/>
      <c r="G17" s="92"/>
      <c r="H17" s="92"/>
    </row>
    <row r="18" spans="1:8" s="93" customFormat="1" ht="24.75" customHeight="1" x14ac:dyDescent="0.25">
      <c r="A18" s="89"/>
      <c r="B18" s="89"/>
      <c r="C18" s="89"/>
      <c r="D18" s="94"/>
      <c r="E18" s="94"/>
      <c r="F18" s="91"/>
      <c r="G18" s="92"/>
      <c r="H18" s="92"/>
    </row>
    <row r="19" spans="1:8" s="93" customFormat="1" ht="23.25" customHeight="1" x14ac:dyDescent="0.25"/>
  </sheetData>
  <mergeCells count="1">
    <mergeCell ref="A1:H1"/>
  </mergeCells>
  <conditionalFormatting sqref="D3:E8">
    <cfRule type="duplicateValues" dxfId="9" priority="1"/>
  </conditionalFormatting>
  <pageMargins left="0.7" right="0.7" top="0.75" bottom="0.75" header="0.3" footer="0.3"/>
  <pageSetup paperSize="9" scale="8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65BA-8B4D-45E3-A7D7-791726679B68}">
  <dimension ref="A2:I20"/>
  <sheetViews>
    <sheetView zoomScaleNormal="100" workbookViewId="0">
      <selection activeCell="I9" sqref="I9"/>
    </sheetView>
  </sheetViews>
  <sheetFormatPr defaultColWidth="9.109375" defaultRowHeight="24.6" x14ac:dyDescent="0.4"/>
  <cols>
    <col min="1" max="1" width="6.109375" style="32" customWidth="1"/>
    <col min="2" max="2" width="9.88671875" style="32" customWidth="1"/>
    <col min="3" max="3" width="10.5546875" style="32" customWidth="1"/>
    <col min="4" max="4" width="31.109375" style="32" customWidth="1"/>
    <col min="5" max="5" width="15.109375" style="32" customWidth="1"/>
    <col min="6" max="6" width="14.44140625" style="32" customWidth="1"/>
    <col min="7" max="7" width="16" style="32" customWidth="1"/>
    <col min="8" max="8" width="13.6640625" style="32" customWidth="1"/>
    <col min="9" max="9" width="15.6640625" style="32" customWidth="1"/>
    <col min="10" max="16384" width="9.109375" style="32"/>
  </cols>
  <sheetData>
    <row r="2" spans="1:9" ht="29.25" customHeight="1" x14ac:dyDescent="0.4">
      <c r="A2" s="401" t="s">
        <v>1682</v>
      </c>
      <c r="B2" s="401"/>
      <c r="C2" s="401"/>
      <c r="D2" s="401"/>
      <c r="E2" s="401"/>
      <c r="F2" s="401"/>
      <c r="G2" s="401"/>
      <c r="H2" s="401"/>
      <c r="I2" s="401"/>
    </row>
    <row r="3" spans="1:9" s="99" customFormat="1" ht="24.75" customHeight="1" x14ac:dyDescent="0.3">
      <c r="A3" s="95" t="s">
        <v>794</v>
      </c>
      <c r="B3" s="95" t="s">
        <v>1667</v>
      </c>
      <c r="C3" s="95" t="s">
        <v>1668</v>
      </c>
      <c r="D3" s="96" t="s">
        <v>796</v>
      </c>
      <c r="E3" s="97" t="s">
        <v>1669</v>
      </c>
      <c r="F3" s="97" t="s">
        <v>1670</v>
      </c>
      <c r="G3" s="97" t="s">
        <v>1671</v>
      </c>
      <c r="H3" s="98" t="s">
        <v>1683</v>
      </c>
      <c r="I3" s="98" t="s">
        <v>1684</v>
      </c>
    </row>
    <row r="4" spans="1:9" s="104" customFormat="1" ht="24.75" customHeight="1" x14ac:dyDescent="0.25">
      <c r="A4" s="100">
        <v>1</v>
      </c>
      <c r="B4" s="100">
        <v>2021</v>
      </c>
      <c r="C4" s="100"/>
      <c r="D4" s="101"/>
      <c r="E4" s="102"/>
      <c r="F4" s="103"/>
      <c r="G4" s="103"/>
      <c r="H4" s="103"/>
      <c r="I4" s="103"/>
    </row>
    <row r="5" spans="1:9" s="104" customFormat="1" ht="24.75" customHeight="1" x14ac:dyDescent="0.25">
      <c r="A5" s="100"/>
      <c r="B5" s="100"/>
      <c r="C5" s="100"/>
      <c r="D5" s="101"/>
      <c r="E5" s="102"/>
      <c r="F5" s="103"/>
      <c r="G5" s="103"/>
      <c r="H5" s="103"/>
      <c r="I5" s="103"/>
    </row>
    <row r="6" spans="1:9" s="104" customFormat="1" ht="24.75" customHeight="1" x14ac:dyDescent="0.25">
      <c r="A6" s="100"/>
      <c r="B6" s="100"/>
      <c r="C6" s="100"/>
      <c r="D6" s="101"/>
      <c r="E6" s="102"/>
      <c r="F6" s="103"/>
      <c r="G6" s="103"/>
      <c r="H6" s="103"/>
      <c r="I6" s="103"/>
    </row>
    <row r="7" spans="1:9" s="104" customFormat="1" ht="24.75" customHeight="1" x14ac:dyDescent="0.25">
      <c r="A7" s="100"/>
      <c r="B7" s="100"/>
      <c r="C7" s="100"/>
      <c r="D7" s="101"/>
      <c r="E7" s="102"/>
      <c r="F7" s="103"/>
      <c r="G7" s="103"/>
      <c r="H7" s="103"/>
      <c r="I7" s="103"/>
    </row>
    <row r="8" spans="1:9" s="104" customFormat="1" ht="24.75" customHeight="1" x14ac:dyDescent="0.25">
      <c r="A8" s="100"/>
      <c r="B8" s="100"/>
      <c r="C8" s="100"/>
      <c r="D8" s="101"/>
      <c r="E8" s="102"/>
      <c r="F8" s="103"/>
      <c r="G8" s="103"/>
      <c r="H8" s="103"/>
      <c r="I8" s="103"/>
    </row>
    <row r="9" spans="1:9" s="104" customFormat="1" ht="24.75" customHeight="1" x14ac:dyDescent="0.25">
      <c r="A9" s="100"/>
      <c r="B9" s="100"/>
      <c r="C9" s="100"/>
      <c r="D9" s="101"/>
      <c r="E9" s="102"/>
      <c r="F9" s="103"/>
      <c r="G9" s="103"/>
      <c r="H9" s="103"/>
      <c r="I9" s="103"/>
    </row>
    <row r="10" spans="1:9" s="104" customFormat="1" ht="24.75" customHeight="1" x14ac:dyDescent="0.25">
      <c r="A10" s="100"/>
      <c r="B10" s="100"/>
      <c r="C10" s="100"/>
      <c r="D10" s="102"/>
      <c r="E10" s="102"/>
      <c r="F10" s="103"/>
      <c r="G10" s="103"/>
      <c r="H10" s="103"/>
      <c r="I10" s="103"/>
    </row>
    <row r="11" spans="1:9" s="104" customFormat="1" ht="24.75" customHeight="1" x14ac:dyDescent="0.25">
      <c r="A11" s="100"/>
      <c r="B11" s="100"/>
      <c r="C11" s="100"/>
      <c r="D11" s="105"/>
      <c r="E11" s="102"/>
      <c r="F11" s="103"/>
      <c r="G11" s="103"/>
      <c r="H11" s="103"/>
      <c r="I11" s="103"/>
    </row>
    <row r="12" spans="1:9" s="104" customFormat="1" ht="24.75" customHeight="1" x14ac:dyDescent="0.25">
      <c r="A12" s="100"/>
      <c r="B12" s="100"/>
      <c r="C12" s="100"/>
      <c r="D12" s="105"/>
      <c r="E12" s="102"/>
      <c r="F12" s="103"/>
      <c r="G12" s="103"/>
      <c r="H12" s="103"/>
      <c r="I12" s="103"/>
    </row>
    <row r="13" spans="1:9" s="104" customFormat="1" ht="24.75" customHeight="1" x14ac:dyDescent="0.25">
      <c r="A13" s="100"/>
      <c r="B13" s="100"/>
      <c r="C13" s="100"/>
      <c r="D13" s="105"/>
      <c r="E13" s="102"/>
      <c r="F13" s="103"/>
      <c r="G13" s="103"/>
      <c r="H13" s="103"/>
      <c r="I13" s="103"/>
    </row>
    <row r="14" spans="1:9" s="104" customFormat="1" ht="24.75" customHeight="1" x14ac:dyDescent="0.25">
      <c r="A14" s="100"/>
      <c r="B14" s="100"/>
      <c r="C14" s="100"/>
      <c r="D14" s="105"/>
      <c r="E14" s="102"/>
      <c r="F14" s="103"/>
      <c r="G14" s="103"/>
      <c r="H14" s="103"/>
      <c r="I14" s="103"/>
    </row>
    <row r="15" spans="1:9" s="104" customFormat="1" ht="24.75" customHeight="1" x14ac:dyDescent="0.25">
      <c r="A15" s="100"/>
      <c r="B15" s="100"/>
      <c r="C15" s="100"/>
      <c r="D15" s="105"/>
      <c r="E15" s="102"/>
      <c r="F15" s="103"/>
      <c r="G15" s="103"/>
      <c r="H15" s="103"/>
      <c r="I15" s="103"/>
    </row>
    <row r="16" spans="1:9" s="104" customFormat="1" ht="24.75" customHeight="1" x14ac:dyDescent="0.25">
      <c r="A16" s="100"/>
      <c r="B16" s="100"/>
      <c r="C16" s="100"/>
      <c r="D16" s="105"/>
      <c r="E16" s="102"/>
      <c r="F16" s="103"/>
      <c r="G16" s="103"/>
      <c r="H16" s="103"/>
      <c r="I16" s="103"/>
    </row>
    <row r="17" spans="1:9" s="104" customFormat="1" ht="24.75" customHeight="1" x14ac:dyDescent="0.25">
      <c r="A17" s="100"/>
      <c r="B17" s="100"/>
      <c r="C17" s="100"/>
      <c r="D17" s="105"/>
      <c r="E17" s="102"/>
      <c r="F17" s="103"/>
      <c r="G17" s="103"/>
      <c r="H17" s="103"/>
      <c r="I17" s="103"/>
    </row>
    <row r="18" spans="1:9" s="104" customFormat="1" ht="24.75" customHeight="1" x14ac:dyDescent="0.25">
      <c r="A18" s="100"/>
      <c r="B18" s="100"/>
      <c r="C18" s="100"/>
      <c r="D18" s="105"/>
      <c r="E18" s="102"/>
      <c r="F18" s="103"/>
      <c r="G18" s="103"/>
      <c r="H18" s="103"/>
      <c r="I18" s="103"/>
    </row>
    <row r="19" spans="1:9" s="104" customFormat="1" ht="24.75" customHeight="1" x14ac:dyDescent="0.25">
      <c r="A19" s="100"/>
      <c r="B19" s="100"/>
      <c r="C19" s="100"/>
      <c r="D19" s="105"/>
      <c r="E19" s="102"/>
      <c r="F19" s="103"/>
      <c r="G19" s="103"/>
      <c r="H19" s="103"/>
      <c r="I19" s="103"/>
    </row>
    <row r="20" spans="1:9" s="104" customFormat="1" ht="23.25" customHeight="1" x14ac:dyDescent="0.25"/>
  </sheetData>
  <mergeCells count="1">
    <mergeCell ref="A2:I2"/>
  </mergeCells>
  <conditionalFormatting sqref="D4:D9">
    <cfRule type="duplicateValues" dxfId="8" priority="1"/>
  </conditionalFormatting>
  <pageMargins left="0.7" right="0.7" top="0.75" bottom="0.75" header="0.3" footer="0.3"/>
  <pageSetup paperSize="9" scale="8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54"/>
  <sheetViews>
    <sheetView topLeftCell="A34" zoomScaleNormal="100" workbookViewId="0">
      <selection activeCell="C14" sqref="C14"/>
    </sheetView>
  </sheetViews>
  <sheetFormatPr defaultColWidth="9.109375" defaultRowHeight="13.8" x14ac:dyDescent="0.25"/>
  <cols>
    <col min="1" max="1" width="6.109375" style="3" customWidth="1"/>
    <col min="2" max="2" width="27.33203125" style="3" customWidth="1"/>
    <col min="3" max="3" width="13.5546875" style="23" customWidth="1"/>
    <col min="4" max="4" width="15" style="23" customWidth="1"/>
    <col min="5" max="5" width="10.33203125" style="3" customWidth="1"/>
    <col min="6" max="6" width="5" style="3" customWidth="1"/>
    <col min="7" max="7" width="14" style="3" customWidth="1"/>
    <col min="8" max="8" width="12" style="3" bestFit="1" customWidth="1"/>
    <col min="9" max="16384" width="9.109375" style="3"/>
  </cols>
  <sheetData>
    <row r="1" spans="1:8" x14ac:dyDescent="0.25">
      <c r="A1" s="4"/>
      <c r="B1" s="7"/>
      <c r="C1" s="22"/>
      <c r="D1" s="22"/>
      <c r="E1" s="6"/>
    </row>
    <row r="2" spans="1:8" ht="20.399999999999999" x14ac:dyDescent="0.25">
      <c r="A2" s="403" t="s">
        <v>1447</v>
      </c>
      <c r="B2" s="403"/>
      <c r="C2" s="403"/>
      <c r="D2" s="403"/>
      <c r="E2" s="403"/>
      <c r="F2" s="403"/>
      <c r="G2" s="403"/>
    </row>
    <row r="3" spans="1:8" ht="75" customHeight="1" x14ac:dyDescent="0.25">
      <c r="A3" s="404" t="s">
        <v>1448</v>
      </c>
      <c r="B3" s="405"/>
      <c r="C3" s="405"/>
      <c r="D3" s="405"/>
      <c r="E3" s="405"/>
      <c r="F3" s="405"/>
      <c r="G3" s="405"/>
    </row>
    <row r="4" spans="1:8" x14ac:dyDescent="0.25">
      <c r="A4" s="406" t="s">
        <v>794</v>
      </c>
      <c r="B4" s="406" t="s">
        <v>949</v>
      </c>
      <c r="C4" s="407" t="s">
        <v>798</v>
      </c>
      <c r="D4" s="407"/>
      <c r="E4" s="406" t="s">
        <v>1449</v>
      </c>
      <c r="F4" s="406"/>
      <c r="G4" s="406"/>
      <c r="H4" s="5"/>
    </row>
    <row r="5" spans="1:8" x14ac:dyDescent="0.25">
      <c r="A5" s="406"/>
      <c r="B5" s="406"/>
      <c r="C5" s="118" t="s">
        <v>34</v>
      </c>
      <c r="D5" s="118" t="s">
        <v>78</v>
      </c>
      <c r="E5" s="406"/>
      <c r="F5" s="406"/>
      <c r="G5" s="406"/>
      <c r="H5" s="5"/>
    </row>
    <row r="6" spans="1:8" x14ac:dyDescent="0.25">
      <c r="A6" s="289">
        <v>1</v>
      </c>
      <c r="B6" s="281" t="s">
        <v>46</v>
      </c>
      <c r="C6" s="290">
        <v>28990</v>
      </c>
      <c r="D6" s="290" t="s">
        <v>1450</v>
      </c>
      <c r="E6" s="402">
        <f>VLOOKUP(B6,'Master List'!C3:G39,4,0)</f>
        <v>5</v>
      </c>
      <c r="F6" s="402"/>
      <c r="G6" s="402"/>
    </row>
    <row r="7" spans="1:8" x14ac:dyDescent="0.25">
      <c r="A7" s="289">
        <v>2</v>
      </c>
      <c r="B7" s="282" t="s">
        <v>62</v>
      </c>
      <c r="C7" s="290">
        <v>26451</v>
      </c>
      <c r="D7" s="290" t="s">
        <v>1450</v>
      </c>
      <c r="E7" s="402">
        <f>VLOOKUP(B7,'Master List'!C4:G39,4,0)</f>
        <v>6</v>
      </c>
      <c r="F7" s="402"/>
      <c r="G7" s="402"/>
    </row>
    <row r="8" spans="1:8" x14ac:dyDescent="0.25">
      <c r="A8" s="289">
        <v>3</v>
      </c>
      <c r="B8" s="283" t="s">
        <v>91</v>
      </c>
      <c r="C8" s="290">
        <v>19737</v>
      </c>
      <c r="D8" s="290" t="s">
        <v>1450</v>
      </c>
      <c r="E8" s="402" t="e">
        <f>VLOOKUP(B8,'Master List'!C5:G39,4,0)</f>
        <v>#N/A</v>
      </c>
      <c r="F8" s="402"/>
      <c r="G8" s="402"/>
    </row>
    <row r="9" spans="1:8" x14ac:dyDescent="0.25">
      <c r="A9" s="289">
        <v>4</v>
      </c>
      <c r="B9" s="281" t="s">
        <v>77</v>
      </c>
      <c r="C9" s="290" t="s">
        <v>1450</v>
      </c>
      <c r="D9" s="290">
        <v>34539</v>
      </c>
      <c r="E9" s="402">
        <f>VLOOKUP(B9,'Master List'!C6:G39,4,0)</f>
        <v>7</v>
      </c>
      <c r="F9" s="402"/>
      <c r="G9" s="402"/>
    </row>
    <row r="10" spans="1:8" x14ac:dyDescent="0.25">
      <c r="A10" s="289">
        <v>5</v>
      </c>
      <c r="B10" s="281" t="s">
        <v>95</v>
      </c>
      <c r="C10" s="290">
        <v>29754</v>
      </c>
      <c r="D10" s="290" t="s">
        <v>1450</v>
      </c>
      <c r="E10" s="402">
        <f>VLOOKUP(B10,'Master List'!C6:G39,4,0)</f>
        <v>6</v>
      </c>
      <c r="F10" s="402"/>
      <c r="G10" s="402"/>
    </row>
    <row r="11" spans="1:8" x14ac:dyDescent="0.25">
      <c r="A11" s="289">
        <v>6</v>
      </c>
      <c r="B11" s="281" t="s">
        <v>108</v>
      </c>
      <c r="C11" s="290">
        <v>27030</v>
      </c>
      <c r="D11" s="290" t="s">
        <v>1450</v>
      </c>
      <c r="E11" s="402">
        <f>VLOOKUP(B11,'Master List'!C7:G39,4,0)</f>
        <v>1</v>
      </c>
      <c r="F11" s="402"/>
      <c r="G11" s="402"/>
    </row>
    <row r="12" spans="1:8" x14ac:dyDescent="0.25">
      <c r="A12" s="289">
        <v>7</v>
      </c>
      <c r="B12" s="284" t="s">
        <v>120</v>
      </c>
      <c r="C12" s="290">
        <v>30944</v>
      </c>
      <c r="D12" s="290" t="s">
        <v>1450</v>
      </c>
      <c r="E12" s="402">
        <f>VLOOKUP(B12,'Master List'!C8:G40,4,0)</f>
        <v>9</v>
      </c>
      <c r="F12" s="402"/>
      <c r="G12" s="402"/>
    </row>
    <row r="13" spans="1:8" x14ac:dyDescent="0.25">
      <c r="A13" s="289">
        <v>8</v>
      </c>
      <c r="B13" s="283" t="s">
        <v>139</v>
      </c>
      <c r="C13" s="290" t="s">
        <v>1450</v>
      </c>
      <c r="D13" s="290">
        <v>31770</v>
      </c>
      <c r="E13" s="402" t="e">
        <f>VLOOKUP(B13,'Master List'!C9:G40,4,0)</f>
        <v>#N/A</v>
      </c>
      <c r="F13" s="402"/>
      <c r="G13" s="402"/>
    </row>
    <row r="14" spans="1:8" ht="16.5" customHeight="1" x14ac:dyDescent="0.25">
      <c r="A14" s="289">
        <v>9</v>
      </c>
      <c r="B14" s="281" t="s">
        <v>130</v>
      </c>
      <c r="C14" s="290" t="s">
        <v>1450</v>
      </c>
      <c r="D14" s="290">
        <v>28756</v>
      </c>
      <c r="E14" s="402">
        <f>VLOOKUP(B14,'Master List'!C10:G41,4,0)</f>
        <v>9</v>
      </c>
      <c r="F14" s="402"/>
      <c r="G14" s="402"/>
    </row>
    <row r="15" spans="1:8" x14ac:dyDescent="0.25">
      <c r="A15" s="289">
        <v>10</v>
      </c>
      <c r="B15" s="281" t="s">
        <v>142</v>
      </c>
      <c r="C15" s="290" t="s">
        <v>1450</v>
      </c>
      <c r="D15" s="290">
        <v>31273</v>
      </c>
      <c r="E15" s="402">
        <f>VLOOKUP(B15,'Master List'!C10:G42,4,0)</f>
        <v>8</v>
      </c>
      <c r="F15" s="402"/>
      <c r="G15" s="402"/>
    </row>
    <row r="16" spans="1:8" x14ac:dyDescent="0.25">
      <c r="A16" s="289">
        <v>11</v>
      </c>
      <c r="B16" s="284" t="s">
        <v>155</v>
      </c>
      <c r="C16" s="290" t="s">
        <v>1450</v>
      </c>
      <c r="D16" s="290">
        <v>30399</v>
      </c>
      <c r="E16" s="402">
        <f>VLOOKUP(B16,'Master List'!C11:G42,4,0)</f>
        <v>3</v>
      </c>
      <c r="F16" s="402"/>
      <c r="G16" s="402"/>
    </row>
    <row r="17" spans="1:7" x14ac:dyDescent="0.25">
      <c r="A17" s="289">
        <v>12</v>
      </c>
      <c r="B17" s="283" t="s">
        <v>168</v>
      </c>
      <c r="C17" s="290">
        <v>30376</v>
      </c>
      <c r="D17" s="290" t="s">
        <v>1450</v>
      </c>
      <c r="E17" s="402">
        <f>VLOOKUP(B17,'Master List'!C12:G42,4,0)</f>
        <v>3</v>
      </c>
      <c r="F17" s="402"/>
      <c r="G17" s="402"/>
    </row>
    <row r="18" spans="1:7" x14ac:dyDescent="0.25">
      <c r="A18" s="289">
        <v>13</v>
      </c>
      <c r="B18" s="281" t="s">
        <v>183</v>
      </c>
      <c r="C18" s="290">
        <v>33626</v>
      </c>
      <c r="D18" s="290" t="s">
        <v>1450</v>
      </c>
      <c r="E18" s="402">
        <f>VLOOKUP(B18,'Master List'!C13:G42,4,0)</f>
        <v>1</v>
      </c>
      <c r="F18" s="402"/>
      <c r="G18" s="402"/>
    </row>
    <row r="19" spans="1:7" x14ac:dyDescent="0.25">
      <c r="A19" s="289">
        <v>14</v>
      </c>
      <c r="B19" s="281" t="s">
        <v>197</v>
      </c>
      <c r="C19" s="290">
        <v>32150</v>
      </c>
      <c r="D19" s="290" t="s">
        <v>1450</v>
      </c>
      <c r="E19" s="402">
        <f>VLOOKUP(B19,'Master List'!C14:G43,4,0)</f>
        <v>1</v>
      </c>
      <c r="F19" s="402"/>
      <c r="G19" s="402"/>
    </row>
    <row r="20" spans="1:7" x14ac:dyDescent="0.25">
      <c r="A20" s="289">
        <v>15</v>
      </c>
      <c r="B20" s="281" t="s">
        <v>211</v>
      </c>
      <c r="C20" s="290">
        <v>32235</v>
      </c>
      <c r="D20" s="290" t="s">
        <v>1450</v>
      </c>
      <c r="E20" s="402">
        <f>VLOOKUP(B20,'Master List'!C15:G43,4,0)</f>
        <v>4</v>
      </c>
      <c r="F20" s="402"/>
      <c r="G20" s="402"/>
    </row>
    <row r="21" spans="1:7" x14ac:dyDescent="0.25">
      <c r="A21" s="289">
        <v>16</v>
      </c>
      <c r="B21" s="281" t="s">
        <v>228</v>
      </c>
      <c r="C21" s="290">
        <v>32157</v>
      </c>
      <c r="D21" s="290" t="s">
        <v>1450</v>
      </c>
      <c r="E21" s="402">
        <f>VLOOKUP(B21,'Master List'!C16:G44,4,0)</f>
        <v>1</v>
      </c>
      <c r="F21" s="402"/>
      <c r="G21" s="402"/>
    </row>
    <row r="22" spans="1:7" ht="15.75" customHeight="1" x14ac:dyDescent="0.25">
      <c r="A22" s="289">
        <v>17</v>
      </c>
      <c r="B22" s="281" t="s">
        <v>243</v>
      </c>
      <c r="C22" s="290">
        <v>33336</v>
      </c>
      <c r="D22" s="290" t="s">
        <v>1450</v>
      </c>
      <c r="E22" s="402">
        <f>VLOOKUP(B22,'Master List'!C17:G44,4,0)</f>
        <v>4</v>
      </c>
      <c r="F22" s="402"/>
      <c r="G22" s="402"/>
    </row>
    <row r="23" spans="1:7" x14ac:dyDescent="0.25">
      <c r="A23" s="289">
        <v>18</v>
      </c>
      <c r="B23" s="281" t="s">
        <v>239</v>
      </c>
      <c r="C23" s="290">
        <v>29306</v>
      </c>
      <c r="D23" s="290" t="s">
        <v>1450</v>
      </c>
      <c r="E23" s="402">
        <f>VLOOKUP(B23,'Master List'!C18:G44,4,0)</f>
        <v>3</v>
      </c>
      <c r="F23" s="402"/>
      <c r="G23" s="402"/>
    </row>
    <row r="24" spans="1:7" x14ac:dyDescent="0.25">
      <c r="A24" s="289">
        <v>19</v>
      </c>
      <c r="B24" s="281" t="s">
        <v>272</v>
      </c>
      <c r="C24" s="290">
        <v>29901</v>
      </c>
      <c r="D24" s="290" t="s">
        <v>1450</v>
      </c>
      <c r="E24" s="402">
        <f>VLOOKUP(B24,'Master List'!C19:G45,4,0)</f>
        <v>11</v>
      </c>
      <c r="F24" s="402"/>
      <c r="G24" s="402"/>
    </row>
    <row r="25" spans="1:7" x14ac:dyDescent="0.25">
      <c r="A25" s="289">
        <v>20</v>
      </c>
      <c r="B25" s="284" t="s">
        <v>290</v>
      </c>
      <c r="C25" s="290">
        <v>32212</v>
      </c>
      <c r="D25" s="290" t="s">
        <v>1450</v>
      </c>
      <c r="E25" s="402" t="e">
        <f>VLOOKUP(B25,'Master List'!C20:G45,4,0)</f>
        <v>#N/A</v>
      </c>
      <c r="F25" s="402"/>
      <c r="G25" s="402"/>
    </row>
    <row r="26" spans="1:7" x14ac:dyDescent="0.25">
      <c r="A26" s="289">
        <v>21</v>
      </c>
      <c r="B26" s="283" t="s">
        <v>301</v>
      </c>
      <c r="C26" s="290">
        <v>25329</v>
      </c>
      <c r="D26" s="290" t="s">
        <v>1450</v>
      </c>
      <c r="E26" s="402">
        <f>VLOOKUP(B26,'Master List'!C21:G45,4,0)</f>
        <v>5</v>
      </c>
      <c r="F26" s="402"/>
      <c r="G26" s="402"/>
    </row>
    <row r="27" spans="1:7" x14ac:dyDescent="0.25">
      <c r="A27" s="289">
        <v>22</v>
      </c>
      <c r="B27" s="281" t="s">
        <v>315</v>
      </c>
      <c r="C27" s="290">
        <v>29221</v>
      </c>
      <c r="D27" s="290" t="s">
        <v>1450</v>
      </c>
      <c r="E27" s="402">
        <f>VLOOKUP(B27,'Master List'!C21:G46,4,0)</f>
        <v>1</v>
      </c>
      <c r="F27" s="402"/>
      <c r="G27" s="402"/>
    </row>
    <row r="28" spans="1:7" x14ac:dyDescent="0.25">
      <c r="A28" s="289">
        <v>23</v>
      </c>
      <c r="B28" s="281" t="s">
        <v>322</v>
      </c>
      <c r="C28" s="290" t="s">
        <v>1450</v>
      </c>
      <c r="D28" s="290">
        <v>31247</v>
      </c>
      <c r="E28" s="402">
        <f>VLOOKUP(B28,'Master List'!C22:G46,4,0)</f>
        <v>7</v>
      </c>
      <c r="F28" s="402"/>
      <c r="G28" s="402"/>
    </row>
    <row r="29" spans="1:7" x14ac:dyDescent="0.25">
      <c r="A29" s="289">
        <v>24</v>
      </c>
      <c r="B29" s="281" t="s">
        <v>311</v>
      </c>
      <c r="C29" s="290">
        <v>32428</v>
      </c>
      <c r="D29" s="290" t="s">
        <v>1450</v>
      </c>
      <c r="E29" s="402">
        <f>VLOOKUP(B29,'Master List'!C23:G46,4,0)</f>
        <v>10</v>
      </c>
      <c r="F29" s="402"/>
      <c r="G29" s="402"/>
    </row>
    <row r="30" spans="1:7" x14ac:dyDescent="0.25">
      <c r="A30" s="289">
        <v>25</v>
      </c>
      <c r="B30" s="284" t="s">
        <v>345</v>
      </c>
      <c r="C30" s="290" t="s">
        <v>1450</v>
      </c>
      <c r="D30" s="290">
        <v>32880</v>
      </c>
      <c r="E30" s="402">
        <f>VLOOKUP(B30,'Master List'!C24:G46,4,0)</f>
        <v>1</v>
      </c>
      <c r="F30" s="402"/>
      <c r="G30" s="402"/>
    </row>
    <row r="31" spans="1:7" x14ac:dyDescent="0.25">
      <c r="A31" s="289">
        <v>26</v>
      </c>
      <c r="B31" s="281" t="s">
        <v>1343</v>
      </c>
      <c r="C31" s="290">
        <v>34010</v>
      </c>
      <c r="D31" s="290" t="s">
        <v>1450</v>
      </c>
      <c r="E31" s="402" t="e">
        <f>VLOOKUP(B31,'Master List'!C25:G47,4,0)</f>
        <v>#N/A</v>
      </c>
      <c r="F31" s="402"/>
      <c r="G31" s="402"/>
    </row>
    <row r="32" spans="1:7" x14ac:dyDescent="0.25">
      <c r="A32" s="289">
        <v>27</v>
      </c>
      <c r="B32" s="284" t="s">
        <v>358</v>
      </c>
      <c r="C32" s="290">
        <v>31807</v>
      </c>
      <c r="D32" s="290" t="s">
        <v>1450</v>
      </c>
      <c r="E32" s="402" t="e">
        <f>VLOOKUP(B32,'Master List'!C26:G47,4,0)</f>
        <v>#N/A</v>
      </c>
      <c r="F32" s="402"/>
      <c r="G32" s="402"/>
    </row>
    <row r="33" spans="1:8" x14ac:dyDescent="0.25">
      <c r="A33" s="289">
        <v>28</v>
      </c>
      <c r="B33" s="283" t="s">
        <v>372</v>
      </c>
      <c r="C33" s="290" t="s">
        <v>1450</v>
      </c>
      <c r="D33" s="290">
        <v>32086</v>
      </c>
      <c r="E33" s="402">
        <f>VLOOKUP(B33,'Master List'!C26:G47,4,0)</f>
        <v>11</v>
      </c>
      <c r="F33" s="402"/>
      <c r="G33" s="402"/>
    </row>
    <row r="34" spans="1:8" x14ac:dyDescent="0.25">
      <c r="A34" s="289">
        <v>29</v>
      </c>
      <c r="B34" s="281" t="s">
        <v>385</v>
      </c>
      <c r="C34" s="290">
        <v>34993</v>
      </c>
      <c r="D34" s="290" t="s">
        <v>1450</v>
      </c>
      <c r="E34" s="402">
        <f>VLOOKUP(B34,'Master List'!C26:G47,4,0)</f>
        <v>10</v>
      </c>
      <c r="F34" s="402"/>
      <c r="G34" s="402"/>
    </row>
    <row r="35" spans="1:8" x14ac:dyDescent="0.25">
      <c r="A35" s="289">
        <v>30</v>
      </c>
      <c r="B35" s="281" t="s">
        <v>398</v>
      </c>
      <c r="C35" s="290">
        <v>32874</v>
      </c>
      <c r="D35" s="290" t="s">
        <v>1450</v>
      </c>
      <c r="E35" s="402">
        <f>VLOOKUP(B35,'Master List'!C27:G47,4,0)</f>
        <v>1</v>
      </c>
      <c r="F35" s="402"/>
      <c r="G35" s="402"/>
    </row>
    <row r="36" spans="1:8" x14ac:dyDescent="0.25">
      <c r="A36" s="289">
        <v>31</v>
      </c>
      <c r="B36" s="281" t="s">
        <v>1313</v>
      </c>
      <c r="C36" s="290">
        <v>17899</v>
      </c>
      <c r="D36" s="290" t="s">
        <v>1450</v>
      </c>
      <c r="E36" s="402" t="e">
        <f>VLOOKUP(B36,'Master List'!C28:G47,4,0)</f>
        <v>#N/A</v>
      </c>
      <c r="F36" s="402"/>
      <c r="G36" s="402"/>
    </row>
    <row r="37" spans="1:8" x14ac:dyDescent="0.25">
      <c r="A37" s="289">
        <v>32</v>
      </c>
      <c r="B37" s="281" t="s">
        <v>410</v>
      </c>
      <c r="C37" s="290">
        <v>26442</v>
      </c>
      <c r="D37" s="290" t="s">
        <v>1450</v>
      </c>
      <c r="E37" s="402">
        <f>VLOOKUP(B37,'Master List'!C29:G47,4,0)</f>
        <v>5</v>
      </c>
      <c r="F37" s="402"/>
      <c r="G37" s="402"/>
    </row>
    <row r="38" spans="1:8" x14ac:dyDescent="0.25">
      <c r="A38" s="289">
        <v>33</v>
      </c>
      <c r="B38" s="281" t="s">
        <v>286</v>
      </c>
      <c r="C38" s="290">
        <v>32523</v>
      </c>
      <c r="D38" s="290" t="s">
        <v>1450</v>
      </c>
      <c r="E38" s="402">
        <f>VLOOKUP(B38,'Master List'!C29:G47,4,0)</f>
        <v>1</v>
      </c>
      <c r="F38" s="402"/>
      <c r="G38" s="402"/>
    </row>
    <row r="39" spans="1:8" ht="15" customHeight="1" x14ac:dyDescent="0.25">
      <c r="A39" s="289">
        <v>34</v>
      </c>
      <c r="B39" s="285" t="s">
        <v>435</v>
      </c>
      <c r="C39" s="290">
        <v>18553</v>
      </c>
      <c r="D39" s="290" t="s">
        <v>1450</v>
      </c>
      <c r="E39" s="402">
        <f>VLOOKUP(B39,'Master List'!C30:G47,4,0)</f>
        <v>10</v>
      </c>
      <c r="F39" s="402"/>
      <c r="G39" s="402"/>
    </row>
    <row r="40" spans="1:8" ht="15" customHeight="1" x14ac:dyDescent="0.25">
      <c r="A40" s="289">
        <v>35</v>
      </c>
      <c r="B40" s="281" t="s">
        <v>447</v>
      </c>
      <c r="C40" s="290">
        <v>32303</v>
      </c>
      <c r="D40" s="290" t="s">
        <v>1450</v>
      </c>
      <c r="E40" s="402">
        <f>VLOOKUP(B40,'Master List'!C31:G47,4,0)</f>
        <v>6</v>
      </c>
      <c r="F40" s="402"/>
      <c r="G40" s="402"/>
    </row>
    <row r="41" spans="1:8" ht="15" customHeight="1" x14ac:dyDescent="0.25">
      <c r="A41" s="289">
        <v>36</v>
      </c>
      <c r="B41" s="284" t="s">
        <v>462</v>
      </c>
      <c r="C41" s="290">
        <v>27395</v>
      </c>
      <c r="D41" s="290" t="s">
        <v>1450</v>
      </c>
      <c r="E41" s="402">
        <f>VLOOKUP(B41,'Master List'!C32:G50,4,0)</f>
        <v>1</v>
      </c>
      <c r="F41" s="402"/>
      <c r="G41" s="402"/>
    </row>
    <row r="42" spans="1:8" ht="15" customHeight="1" x14ac:dyDescent="0.25">
      <c r="A42" s="289">
        <v>37</v>
      </c>
      <c r="B42" s="284" t="s">
        <v>468</v>
      </c>
      <c r="C42" s="290">
        <v>28628</v>
      </c>
      <c r="D42" s="290" t="s">
        <v>1450</v>
      </c>
      <c r="E42" s="402">
        <f>VLOOKUP(B42,'Master List'!C33:G50,4,0)</f>
        <v>5</v>
      </c>
      <c r="F42" s="402"/>
      <c r="G42" s="402"/>
    </row>
    <row r="43" spans="1:8" ht="15" customHeight="1" x14ac:dyDescent="0.25">
      <c r="A43" s="289">
        <v>38</v>
      </c>
      <c r="B43" s="286" t="s">
        <v>485</v>
      </c>
      <c r="C43" s="290">
        <v>33626</v>
      </c>
      <c r="D43" s="290" t="s">
        <v>1450</v>
      </c>
      <c r="E43" s="402">
        <f>VLOOKUP(B43,'Master List'!C34:G50,4,0)</f>
        <v>1</v>
      </c>
      <c r="F43" s="402"/>
      <c r="G43" s="402"/>
      <c r="H43" s="4"/>
    </row>
    <row r="44" spans="1:8" ht="13.5" customHeight="1" x14ac:dyDescent="0.25">
      <c r="A44" s="289">
        <v>39</v>
      </c>
      <c r="B44" s="287" t="s">
        <v>494</v>
      </c>
      <c r="C44" s="290">
        <v>21551</v>
      </c>
      <c r="D44" s="290" t="s">
        <v>1450</v>
      </c>
      <c r="E44" s="402">
        <f>VLOOKUP(B44,'Master List'!C35:G50,4,0)</f>
        <v>1</v>
      </c>
      <c r="F44" s="402"/>
      <c r="G44" s="402"/>
    </row>
    <row r="45" spans="1:8" ht="13.5" customHeight="1" thickBot="1" x14ac:dyDescent="0.3">
      <c r="A45" s="289">
        <v>40</v>
      </c>
      <c r="B45" s="62" t="s">
        <v>824</v>
      </c>
      <c r="C45" s="290">
        <v>34502</v>
      </c>
      <c r="D45" s="290" t="s">
        <v>1450</v>
      </c>
      <c r="E45" s="402" t="e">
        <f>VLOOKUP(B45,'Master List'!C36:G50,4,0)</f>
        <v>#N/A</v>
      </c>
      <c r="F45" s="402"/>
      <c r="G45" s="402"/>
    </row>
    <row r="46" spans="1:8" ht="14.4" thickBot="1" x14ac:dyDescent="0.3">
      <c r="A46" s="289">
        <v>41</v>
      </c>
      <c r="B46" s="288" t="s">
        <v>498</v>
      </c>
      <c r="C46" s="290">
        <v>35116</v>
      </c>
      <c r="D46" s="290" t="s">
        <v>1450</v>
      </c>
      <c r="E46" s="402" t="e">
        <f>VLOOKUP(B46,'Master List'!C37:G51,4,0)</f>
        <v>#N/A</v>
      </c>
      <c r="F46" s="402"/>
      <c r="G46" s="402"/>
    </row>
    <row r="47" spans="1:8" ht="14.4" thickBot="1" x14ac:dyDescent="0.3">
      <c r="A47" s="289">
        <v>42</v>
      </c>
      <c r="B47" s="288" t="s">
        <v>511</v>
      </c>
      <c r="C47" s="290">
        <v>33544</v>
      </c>
      <c r="D47" s="290" t="s">
        <v>1450</v>
      </c>
      <c r="E47" s="402">
        <f>VLOOKUP(B47,'Master List'!C37:G51,4,0)</f>
        <v>11</v>
      </c>
      <c r="F47" s="402"/>
      <c r="G47" s="402"/>
    </row>
    <row r="48" spans="1:8" ht="18" customHeight="1" x14ac:dyDescent="0.25">
      <c r="A48" s="289">
        <v>43</v>
      </c>
      <c r="B48" s="62" t="s">
        <v>524</v>
      </c>
      <c r="C48" s="290">
        <v>34103</v>
      </c>
      <c r="D48" s="290" t="s">
        <v>1450</v>
      </c>
      <c r="E48" s="402">
        <f>VLOOKUP(B48,'Master List'!C37:G51,4,0)</f>
        <v>5</v>
      </c>
      <c r="F48" s="402"/>
      <c r="G48" s="402"/>
    </row>
    <row r="49" spans="1:7" ht="14.4" thickBot="1" x14ac:dyDescent="0.3">
      <c r="A49" s="289">
        <v>44</v>
      </c>
      <c r="B49" s="62" t="s">
        <v>540</v>
      </c>
      <c r="C49" s="290">
        <v>34490</v>
      </c>
      <c r="D49" s="290" t="s">
        <v>1450</v>
      </c>
      <c r="E49" s="402" t="e">
        <f>VLOOKUP(B49,'Master List'!C38:G51,4,0)</f>
        <v>#N/A</v>
      </c>
      <c r="F49" s="402"/>
      <c r="G49" s="402"/>
    </row>
    <row r="50" spans="1:7" ht="15" customHeight="1" thickBot="1" x14ac:dyDescent="0.3">
      <c r="A50" s="289">
        <v>45</v>
      </c>
      <c r="B50" s="288" t="s">
        <v>836</v>
      </c>
      <c r="C50" s="290">
        <v>27425</v>
      </c>
      <c r="D50" s="290" t="s">
        <v>1450</v>
      </c>
      <c r="E50" s="402" t="e">
        <f>VLOOKUP(B50,'Master List'!C39:G52,4,0)</f>
        <v>#N/A</v>
      </c>
      <c r="F50" s="402"/>
      <c r="G50" s="402"/>
    </row>
    <row r="51" spans="1:7" x14ac:dyDescent="0.25">
      <c r="A51" s="289">
        <v>46</v>
      </c>
      <c r="B51" s="281" t="s">
        <v>545</v>
      </c>
      <c r="C51" s="290">
        <v>21186</v>
      </c>
      <c r="D51" s="290" t="s">
        <v>1450</v>
      </c>
      <c r="E51" s="402">
        <f>VLOOKUP(B51,'Master List'!C39:G52,4,0)</f>
        <v>1</v>
      </c>
      <c r="F51" s="402"/>
      <c r="G51" s="402"/>
    </row>
    <row r="52" spans="1:7" x14ac:dyDescent="0.25">
      <c r="A52" s="289">
        <v>47</v>
      </c>
      <c r="B52" s="62" t="s">
        <v>846</v>
      </c>
      <c r="C52" s="290">
        <v>34728</v>
      </c>
      <c r="D52" s="290" t="s">
        <v>1450</v>
      </c>
      <c r="E52" s="402" t="e">
        <f>VLOOKUP(B52,'Master List'!C39:G53,4,0)</f>
        <v>#N/A</v>
      </c>
      <c r="F52" s="402"/>
      <c r="G52" s="402"/>
    </row>
    <row r="53" spans="1:7" x14ac:dyDescent="0.25">
      <c r="A53" s="289">
        <v>48</v>
      </c>
      <c r="B53" s="62" t="s">
        <v>847</v>
      </c>
      <c r="C53" s="290">
        <v>32053</v>
      </c>
      <c r="D53" s="290" t="s">
        <v>1450</v>
      </c>
      <c r="E53" s="402" t="e">
        <f>VLOOKUP(B53,'Master List'!C40:G53,4,0)</f>
        <v>#N/A</v>
      </c>
      <c r="F53" s="402"/>
      <c r="G53" s="402"/>
    </row>
    <row r="54" spans="1:7" x14ac:dyDescent="0.25">
      <c r="A54" s="289">
        <v>49</v>
      </c>
      <c r="B54" s="281" t="s">
        <v>860</v>
      </c>
      <c r="C54" s="290">
        <v>32145</v>
      </c>
      <c r="D54" s="290" t="s">
        <v>1450</v>
      </c>
      <c r="E54" s="402" t="e">
        <f>VLOOKUP(B54,'Master List'!C40:G54,4,0)</f>
        <v>#N/A</v>
      </c>
      <c r="F54" s="402"/>
      <c r="G54" s="402"/>
    </row>
  </sheetData>
  <autoFilter ref="A5:H54" xr:uid="{00000000-0009-0000-0000-000003000000}">
    <filterColumn colId="4" showButton="0"/>
    <filterColumn colId="5" showButton="0"/>
  </autoFilter>
  <mergeCells count="56">
    <mergeCell ref="A2:G2"/>
    <mergeCell ref="A3:G3"/>
    <mergeCell ref="E4:G4"/>
    <mergeCell ref="E6:G6"/>
    <mergeCell ref="C4:D4"/>
    <mergeCell ref="E5:G5"/>
    <mergeCell ref="A4:A5"/>
    <mergeCell ref="B4:B5"/>
    <mergeCell ref="E12:G12"/>
    <mergeCell ref="E13:G13"/>
    <mergeCell ref="E16:G16"/>
    <mergeCell ref="E14:G14"/>
    <mergeCell ref="E15:G15"/>
    <mergeCell ref="E7:G7"/>
    <mergeCell ref="E9:G9"/>
    <mergeCell ref="E8:G8"/>
    <mergeCell ref="E10:G10"/>
    <mergeCell ref="E11:G11"/>
    <mergeCell ref="E25:G25"/>
    <mergeCell ref="E22:G22"/>
    <mergeCell ref="E23:G23"/>
    <mergeCell ref="E24:G24"/>
    <mergeCell ref="E17:G17"/>
    <mergeCell ref="E18:G18"/>
    <mergeCell ref="E21:G21"/>
    <mergeCell ref="E19:G19"/>
    <mergeCell ref="E20:G20"/>
    <mergeCell ref="E31:G31"/>
    <mergeCell ref="E32:G32"/>
    <mergeCell ref="E33:G33"/>
    <mergeCell ref="E26:G26"/>
    <mergeCell ref="E27:G27"/>
    <mergeCell ref="E28:G28"/>
    <mergeCell ref="E29:G29"/>
    <mergeCell ref="E30:G30"/>
    <mergeCell ref="E40:G40"/>
    <mergeCell ref="E41:G41"/>
    <mergeCell ref="E42:G42"/>
    <mergeCell ref="E43:G43"/>
    <mergeCell ref="E34:G34"/>
    <mergeCell ref="E35:G35"/>
    <mergeCell ref="E36:G36"/>
    <mergeCell ref="E37:G37"/>
    <mergeCell ref="E38:G38"/>
    <mergeCell ref="E39:G39"/>
    <mergeCell ref="E53:G53"/>
    <mergeCell ref="E54:G54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</mergeCells>
  <conditionalFormatting sqref="B6:B41">
    <cfRule type="duplicateValues" dxfId="7" priority="4"/>
  </conditionalFormatting>
  <conditionalFormatting sqref="B42:B44">
    <cfRule type="duplicateValues" dxfId="6" priority="3"/>
  </conditionalFormatting>
  <conditionalFormatting sqref="B51">
    <cfRule type="duplicateValues" dxfId="5" priority="2"/>
  </conditionalFormatting>
  <conditionalFormatting sqref="B54">
    <cfRule type="duplicateValues" dxfId="4" priority="1"/>
  </conditionalFormatting>
  <pageMargins left="0" right="0" top="0.75" bottom="0.75" header="0.3" footer="0.3"/>
  <pageSetup paperSize="9" scale="90" orientation="portrait" verticalDpi="0" r:id="rId1"/>
  <colBreaks count="1" manualBreakCount="1">
    <brk id="7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36"/>
  <sheetViews>
    <sheetView topLeftCell="A12" workbookViewId="0">
      <selection activeCell="G10" sqref="G10"/>
    </sheetView>
  </sheetViews>
  <sheetFormatPr defaultRowHeight="13.2" x14ac:dyDescent="0.25"/>
  <cols>
    <col min="1" max="1" width="4.6640625" style="9" customWidth="1"/>
    <col min="2" max="2" width="21.44140625" customWidth="1"/>
    <col min="3" max="3" width="20.6640625" bestFit="1" customWidth="1"/>
    <col min="4" max="4" width="25.6640625" bestFit="1" customWidth="1"/>
    <col min="5" max="5" width="15.44140625" customWidth="1"/>
    <col min="6" max="6" width="17.33203125" style="2" bestFit="1" customWidth="1"/>
  </cols>
  <sheetData>
    <row r="1" spans="1:6" ht="22.5" customHeight="1" x14ac:dyDescent="0.3">
      <c r="B1" s="408" t="s">
        <v>1451</v>
      </c>
      <c r="C1" s="408"/>
      <c r="D1" s="408"/>
      <c r="E1" s="408"/>
      <c r="F1" s="408"/>
    </row>
    <row r="2" spans="1:6" s="9" customFormat="1" ht="15.6" x14ac:dyDescent="0.3">
      <c r="A2" s="18" t="s">
        <v>794</v>
      </c>
      <c r="B2" s="20" t="s">
        <v>796</v>
      </c>
      <c r="C2" s="20" t="s">
        <v>18</v>
      </c>
      <c r="D2" s="20" t="s">
        <v>1452</v>
      </c>
      <c r="E2" s="20" t="s">
        <v>1453</v>
      </c>
      <c r="F2" s="12" t="s">
        <v>942</v>
      </c>
    </row>
    <row r="3" spans="1:6" ht="15.6" x14ac:dyDescent="0.3">
      <c r="A3" s="409" t="s">
        <v>1454</v>
      </c>
      <c r="B3" s="410"/>
      <c r="C3" s="410"/>
      <c r="D3" s="410"/>
      <c r="E3" s="410"/>
      <c r="F3" s="411"/>
    </row>
    <row r="4" spans="1:6" ht="15.6" x14ac:dyDescent="0.3">
      <c r="A4" s="19">
        <v>1</v>
      </c>
      <c r="B4" s="10" t="s">
        <v>979</v>
      </c>
      <c r="C4" s="10" t="s">
        <v>103</v>
      </c>
      <c r="D4" s="10" t="s">
        <v>1020</v>
      </c>
      <c r="E4" s="11">
        <v>44091</v>
      </c>
      <c r="F4" s="12"/>
    </row>
    <row r="5" spans="1:6" ht="15.6" x14ac:dyDescent="0.3">
      <c r="A5" s="19">
        <v>2</v>
      </c>
      <c r="B5" s="10" t="s">
        <v>211</v>
      </c>
      <c r="C5" s="10" t="s">
        <v>899</v>
      </c>
      <c r="D5" s="10" t="s">
        <v>179</v>
      </c>
      <c r="E5" s="11">
        <v>44326</v>
      </c>
      <c r="F5" s="12"/>
    </row>
    <row r="6" spans="1:6" ht="15.6" x14ac:dyDescent="0.3">
      <c r="A6" s="19">
        <v>3</v>
      </c>
      <c r="B6" s="13" t="s">
        <v>462</v>
      </c>
      <c r="C6" s="13" t="s">
        <v>1455</v>
      </c>
      <c r="D6" s="13" t="s">
        <v>310</v>
      </c>
      <c r="E6" s="11">
        <v>44341</v>
      </c>
      <c r="F6" s="14"/>
    </row>
    <row r="7" spans="1:6" ht="15.6" x14ac:dyDescent="0.3">
      <c r="A7" s="19">
        <v>4</v>
      </c>
      <c r="B7" s="13" t="s">
        <v>77</v>
      </c>
      <c r="C7" s="13" t="s">
        <v>807</v>
      </c>
      <c r="D7" s="10" t="s">
        <v>1020</v>
      </c>
      <c r="E7" s="11">
        <v>44340</v>
      </c>
      <c r="F7" s="14"/>
    </row>
    <row r="8" spans="1:6" ht="15.6" x14ac:dyDescent="0.3">
      <c r="A8" s="19">
        <v>5</v>
      </c>
      <c r="B8" s="13" t="s">
        <v>468</v>
      </c>
      <c r="C8" s="13" t="s">
        <v>808</v>
      </c>
      <c r="D8" s="13" t="s">
        <v>310</v>
      </c>
      <c r="E8" s="11">
        <v>44487</v>
      </c>
      <c r="F8" s="14"/>
    </row>
    <row r="9" spans="1:6" ht="15.6" x14ac:dyDescent="0.3">
      <c r="A9" s="19">
        <v>6</v>
      </c>
      <c r="B9" s="13" t="s">
        <v>810</v>
      </c>
      <c r="C9" s="13" t="s">
        <v>808</v>
      </c>
      <c r="D9" s="13" t="s">
        <v>310</v>
      </c>
      <c r="E9" s="11">
        <v>44491</v>
      </c>
      <c r="F9" s="14"/>
    </row>
    <row r="10" spans="1:6" ht="15.6" x14ac:dyDescent="0.3">
      <c r="A10" s="19">
        <v>7</v>
      </c>
      <c r="B10" s="13" t="s">
        <v>485</v>
      </c>
      <c r="C10" s="13" t="s">
        <v>899</v>
      </c>
      <c r="D10" s="10" t="s">
        <v>179</v>
      </c>
      <c r="E10" s="11">
        <v>44494</v>
      </c>
      <c r="F10" s="14"/>
    </row>
    <row r="11" spans="1:6" ht="15.6" x14ac:dyDescent="0.3">
      <c r="A11" s="19">
        <v>8</v>
      </c>
      <c r="B11" s="13" t="s">
        <v>813</v>
      </c>
      <c r="C11" s="13" t="s">
        <v>1456</v>
      </c>
      <c r="D11" s="13" t="s">
        <v>310</v>
      </c>
      <c r="E11" s="11">
        <v>44501</v>
      </c>
      <c r="F11" s="14"/>
    </row>
    <row r="12" spans="1:6" ht="15.6" x14ac:dyDescent="0.3">
      <c r="A12" s="19">
        <v>9</v>
      </c>
      <c r="B12" s="15" t="s">
        <v>494</v>
      </c>
      <c r="C12" s="13" t="s">
        <v>808</v>
      </c>
      <c r="D12" s="13" t="s">
        <v>310</v>
      </c>
      <c r="E12" s="16">
        <v>44525</v>
      </c>
      <c r="F12" s="14"/>
    </row>
    <row r="13" spans="1:6" ht="15.6" x14ac:dyDescent="0.3">
      <c r="A13" s="19">
        <v>10</v>
      </c>
      <c r="B13" s="15" t="s">
        <v>815</v>
      </c>
      <c r="C13" s="15" t="s">
        <v>103</v>
      </c>
      <c r="D13" s="10" t="s">
        <v>1020</v>
      </c>
      <c r="E13" s="17">
        <v>44551</v>
      </c>
      <c r="F13" s="14"/>
    </row>
    <row r="14" spans="1:6" ht="15.6" x14ac:dyDescent="0.3">
      <c r="A14" s="409" t="s">
        <v>1457</v>
      </c>
      <c r="B14" s="410"/>
      <c r="C14" s="410"/>
      <c r="D14" s="410"/>
      <c r="E14" s="410"/>
      <c r="F14" s="411"/>
    </row>
    <row r="15" spans="1:6" ht="15.6" x14ac:dyDescent="0.3">
      <c r="A15" s="19">
        <v>1</v>
      </c>
      <c r="B15" s="15" t="s">
        <v>950</v>
      </c>
      <c r="C15" s="15"/>
      <c r="D15" s="10"/>
      <c r="E15" s="17"/>
      <c r="F15" s="14">
        <v>44214</v>
      </c>
    </row>
    <row r="16" spans="1:6" ht="15.6" x14ac:dyDescent="0.3">
      <c r="A16" s="19">
        <v>2</v>
      </c>
      <c r="B16" s="15" t="s">
        <v>951</v>
      </c>
      <c r="C16" s="15"/>
      <c r="D16" s="10"/>
      <c r="E16" s="17"/>
      <c r="F16" s="14">
        <v>44198</v>
      </c>
    </row>
    <row r="17" spans="1:6" ht="15.6" x14ac:dyDescent="0.3">
      <c r="A17" s="19">
        <v>3</v>
      </c>
      <c r="B17" s="15" t="s">
        <v>952</v>
      </c>
      <c r="C17" s="15"/>
      <c r="D17" s="10" t="s">
        <v>953</v>
      </c>
      <c r="E17" s="17"/>
      <c r="F17" s="14">
        <v>44234</v>
      </c>
    </row>
    <row r="18" spans="1:6" ht="15.6" x14ac:dyDescent="0.3">
      <c r="A18" s="19">
        <v>4</v>
      </c>
      <c r="B18" s="15" t="s">
        <v>954</v>
      </c>
      <c r="C18" s="15"/>
      <c r="D18" s="10"/>
      <c r="E18" s="17"/>
      <c r="F18" s="14">
        <v>44234</v>
      </c>
    </row>
    <row r="19" spans="1:6" ht="15.6" x14ac:dyDescent="0.3">
      <c r="A19" s="19">
        <v>5</v>
      </c>
      <c r="B19" s="15" t="s">
        <v>955</v>
      </c>
      <c r="C19" s="15"/>
      <c r="D19" s="10" t="s">
        <v>136</v>
      </c>
      <c r="E19" s="17"/>
      <c r="F19" s="14">
        <v>44234</v>
      </c>
    </row>
    <row r="20" spans="1:6" ht="15.6" x14ac:dyDescent="0.3">
      <c r="A20" s="19">
        <v>6</v>
      </c>
      <c r="B20" s="15" t="s">
        <v>956</v>
      </c>
      <c r="C20" s="15"/>
      <c r="D20" s="10"/>
      <c r="E20" s="17"/>
      <c r="F20" s="14">
        <v>44231</v>
      </c>
    </row>
    <row r="21" spans="1:6" ht="15.6" x14ac:dyDescent="0.3">
      <c r="A21" s="19">
        <v>7</v>
      </c>
      <c r="B21" s="15" t="s">
        <v>957</v>
      </c>
      <c r="C21" s="15" t="s">
        <v>958</v>
      </c>
      <c r="D21" s="10" t="s">
        <v>959</v>
      </c>
      <c r="E21" s="17"/>
      <c r="F21" s="14">
        <v>44234</v>
      </c>
    </row>
    <row r="22" spans="1:6" ht="15.6" x14ac:dyDescent="0.3">
      <c r="A22" s="19">
        <v>8</v>
      </c>
      <c r="B22" s="15" t="s">
        <v>552</v>
      </c>
      <c r="C22" s="15"/>
      <c r="D22" s="10"/>
      <c r="E22" s="17"/>
      <c r="F22" s="14">
        <v>44256</v>
      </c>
    </row>
    <row r="23" spans="1:6" ht="15.6" x14ac:dyDescent="0.3">
      <c r="A23" s="19">
        <v>9</v>
      </c>
      <c r="B23" s="15" t="s">
        <v>211</v>
      </c>
      <c r="C23" s="15" t="s">
        <v>899</v>
      </c>
      <c r="D23" s="10" t="s">
        <v>179</v>
      </c>
      <c r="E23" s="17"/>
      <c r="F23" s="14">
        <v>44234</v>
      </c>
    </row>
    <row r="24" spans="1:6" ht="15.6" x14ac:dyDescent="0.3">
      <c r="A24" s="19">
        <v>10</v>
      </c>
      <c r="B24" s="15" t="s">
        <v>960</v>
      </c>
      <c r="C24" s="15"/>
      <c r="D24" s="10"/>
      <c r="E24" s="17"/>
      <c r="F24" s="14">
        <v>44256</v>
      </c>
    </row>
    <row r="25" spans="1:6" ht="15.6" x14ac:dyDescent="0.3">
      <c r="A25" s="19">
        <v>11</v>
      </c>
      <c r="B25" s="15" t="s">
        <v>447</v>
      </c>
      <c r="C25" s="15" t="s">
        <v>961</v>
      </c>
      <c r="D25" s="10" t="s">
        <v>179</v>
      </c>
      <c r="E25" s="17"/>
      <c r="F25" s="14">
        <v>44256</v>
      </c>
    </row>
    <row r="26" spans="1:6" ht="15.6" x14ac:dyDescent="0.3">
      <c r="A26" s="19">
        <v>12</v>
      </c>
      <c r="B26" s="15" t="s">
        <v>962</v>
      </c>
      <c r="C26" s="15"/>
      <c r="D26" s="10"/>
      <c r="E26" s="17"/>
      <c r="F26" s="14">
        <v>44300</v>
      </c>
    </row>
    <row r="27" spans="1:6" ht="15.6" x14ac:dyDescent="0.3">
      <c r="A27" s="19">
        <v>13</v>
      </c>
      <c r="B27" s="15" t="s">
        <v>642</v>
      </c>
      <c r="C27" s="15"/>
      <c r="D27" s="10"/>
      <c r="E27" s="17"/>
      <c r="F27" s="14">
        <v>44348</v>
      </c>
    </row>
    <row r="28" spans="1:6" ht="15.6" x14ac:dyDescent="0.3">
      <c r="A28" s="19">
        <v>14</v>
      </c>
      <c r="B28" s="15" t="s">
        <v>963</v>
      </c>
      <c r="C28" s="15" t="s">
        <v>899</v>
      </c>
      <c r="D28" s="10" t="s">
        <v>971</v>
      </c>
      <c r="E28" s="17"/>
      <c r="F28" s="14">
        <v>44470</v>
      </c>
    </row>
    <row r="29" spans="1:6" ht="15.6" x14ac:dyDescent="0.3">
      <c r="A29" s="19">
        <v>15</v>
      </c>
      <c r="B29" s="15" t="s">
        <v>974</v>
      </c>
      <c r="C29" s="15" t="s">
        <v>975</v>
      </c>
      <c r="D29" s="10" t="s">
        <v>976</v>
      </c>
      <c r="E29" s="17"/>
      <c r="F29" s="14">
        <v>44564</v>
      </c>
    </row>
    <row r="30" spans="1:6" ht="15.6" x14ac:dyDescent="0.3">
      <c r="A30" s="19">
        <v>16</v>
      </c>
      <c r="B30" s="15" t="s">
        <v>977</v>
      </c>
      <c r="C30" s="15" t="s">
        <v>899</v>
      </c>
      <c r="D30" s="10" t="s">
        <v>179</v>
      </c>
      <c r="E30" s="17"/>
      <c r="F30" s="14">
        <v>44391</v>
      </c>
    </row>
    <row r="31" spans="1:6" ht="15.6" x14ac:dyDescent="0.3">
      <c r="A31" s="19">
        <v>17</v>
      </c>
      <c r="B31" s="15" t="s">
        <v>979</v>
      </c>
      <c r="C31" s="15" t="s">
        <v>975</v>
      </c>
      <c r="D31" s="10" t="s">
        <v>976</v>
      </c>
      <c r="E31" s="17"/>
      <c r="F31" s="14">
        <v>44470</v>
      </c>
    </row>
    <row r="32" spans="1:6" ht="15.6" x14ac:dyDescent="0.3">
      <c r="A32" s="19">
        <v>18</v>
      </c>
      <c r="B32" s="15" t="s">
        <v>989</v>
      </c>
      <c r="C32" s="15" t="s">
        <v>996</v>
      </c>
      <c r="D32" s="10" t="s">
        <v>976</v>
      </c>
      <c r="E32" s="17"/>
      <c r="F32" s="14" t="s">
        <v>997</v>
      </c>
    </row>
    <row r="33" spans="1:6" ht="15.6" x14ac:dyDescent="0.3">
      <c r="A33" s="19">
        <v>19</v>
      </c>
      <c r="B33" s="15" t="s">
        <v>998</v>
      </c>
      <c r="C33" s="15" t="s">
        <v>1004</v>
      </c>
      <c r="D33" s="10" t="s">
        <v>971</v>
      </c>
      <c r="E33" s="17"/>
      <c r="F33" s="14">
        <v>44531</v>
      </c>
    </row>
    <row r="34" spans="1:6" ht="15.6" x14ac:dyDescent="0.3">
      <c r="A34" s="19">
        <v>20</v>
      </c>
      <c r="B34" s="15" t="s">
        <v>894</v>
      </c>
      <c r="C34" s="15" t="s">
        <v>1014</v>
      </c>
      <c r="D34" s="10" t="s">
        <v>971</v>
      </c>
      <c r="E34" s="17"/>
      <c r="F34" s="14">
        <v>44531</v>
      </c>
    </row>
    <row r="35" spans="1:6" ht="15.6" x14ac:dyDescent="0.3">
      <c r="A35" s="19">
        <v>21</v>
      </c>
      <c r="B35" s="15" t="s">
        <v>545</v>
      </c>
      <c r="C35" s="13" t="s">
        <v>808</v>
      </c>
      <c r="D35" s="10" t="s">
        <v>976</v>
      </c>
      <c r="E35" s="17"/>
      <c r="F35" s="14">
        <v>44531</v>
      </c>
    </row>
    <row r="36" spans="1:6" ht="15.6" x14ac:dyDescent="0.3">
      <c r="A36" s="19">
        <v>22</v>
      </c>
      <c r="B36" s="15" t="s">
        <v>605</v>
      </c>
      <c r="C36" s="15" t="s">
        <v>807</v>
      </c>
      <c r="D36" s="10" t="s">
        <v>1020</v>
      </c>
      <c r="E36" s="17"/>
      <c r="F36" s="14">
        <v>44494</v>
      </c>
    </row>
  </sheetData>
  <mergeCells count="3">
    <mergeCell ref="B1:F1"/>
    <mergeCell ref="A3:F3"/>
    <mergeCell ref="A14:F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51"/>
  <sheetViews>
    <sheetView topLeftCell="A37" zoomScaleNormal="100" workbookViewId="0">
      <selection activeCell="D11" sqref="D11"/>
    </sheetView>
  </sheetViews>
  <sheetFormatPr defaultRowHeight="13.2" x14ac:dyDescent="0.25"/>
  <cols>
    <col min="1" max="1" width="4.6640625" style="9" customWidth="1"/>
    <col min="2" max="2" width="21.44140625" customWidth="1"/>
    <col min="3" max="3" width="27.109375" bestFit="1" customWidth="1"/>
    <col min="4" max="4" width="25.6640625" bestFit="1" customWidth="1"/>
    <col min="5" max="5" width="15.44140625" customWidth="1"/>
    <col min="6" max="6" width="17.33203125" style="2" bestFit="1" customWidth="1"/>
  </cols>
  <sheetData>
    <row r="1" spans="1:6" ht="22.5" customHeight="1" x14ac:dyDescent="0.3">
      <c r="B1" s="408" t="s">
        <v>1458</v>
      </c>
      <c r="C1" s="408"/>
      <c r="D1" s="408"/>
      <c r="E1" s="408"/>
      <c r="F1" s="408"/>
    </row>
    <row r="2" spans="1:6" s="9" customFormat="1" ht="15.6" x14ac:dyDescent="0.3">
      <c r="A2" s="18" t="s">
        <v>794</v>
      </c>
      <c r="B2" s="20" t="s">
        <v>796</v>
      </c>
      <c r="C2" s="20" t="s">
        <v>18</v>
      </c>
      <c r="D2" s="20" t="s">
        <v>1452</v>
      </c>
      <c r="E2" s="21" t="s">
        <v>1453</v>
      </c>
      <c r="F2" s="12" t="s">
        <v>942</v>
      </c>
    </row>
    <row r="3" spans="1:6" ht="15.6" x14ac:dyDescent="0.3">
      <c r="A3" s="409" t="s">
        <v>1454</v>
      </c>
      <c r="B3" s="410"/>
      <c r="C3" s="410"/>
      <c r="D3" s="410"/>
      <c r="E3" s="410"/>
      <c r="F3" s="411"/>
    </row>
    <row r="4" spans="1:6" ht="15.6" x14ac:dyDescent="0.3">
      <c r="A4" s="19">
        <v>1</v>
      </c>
      <c r="B4" s="10" t="s">
        <v>816</v>
      </c>
      <c r="C4" s="10" t="s">
        <v>817</v>
      </c>
      <c r="D4" s="10" t="s">
        <v>959</v>
      </c>
      <c r="E4" s="11">
        <v>44610</v>
      </c>
      <c r="F4" s="12"/>
    </row>
    <row r="5" spans="1:6" ht="15.6" x14ac:dyDescent="0.3">
      <c r="A5" s="19">
        <v>2</v>
      </c>
      <c r="B5" s="10" t="s">
        <v>819</v>
      </c>
      <c r="C5" s="10" t="s">
        <v>298</v>
      </c>
      <c r="D5" s="10" t="s">
        <v>959</v>
      </c>
      <c r="E5" s="11">
        <v>44621</v>
      </c>
      <c r="F5" s="12"/>
    </row>
    <row r="6" spans="1:6" ht="15.6" x14ac:dyDescent="0.3">
      <c r="A6" s="19">
        <v>3</v>
      </c>
      <c r="B6" s="10" t="s">
        <v>821</v>
      </c>
      <c r="C6" s="10" t="s">
        <v>822</v>
      </c>
      <c r="D6" s="10" t="s">
        <v>959</v>
      </c>
      <c r="E6" s="11">
        <v>44624</v>
      </c>
      <c r="F6" s="12"/>
    </row>
    <row r="7" spans="1:6" ht="15.6" x14ac:dyDescent="0.3">
      <c r="A7" s="19">
        <v>4</v>
      </c>
      <c r="B7" s="10" t="s">
        <v>824</v>
      </c>
      <c r="C7" s="10" t="s">
        <v>825</v>
      </c>
      <c r="D7" s="10" t="s">
        <v>1459</v>
      </c>
      <c r="E7" s="11">
        <v>44627</v>
      </c>
      <c r="F7" s="12"/>
    </row>
    <row r="8" spans="1:6" ht="15.6" x14ac:dyDescent="0.3">
      <c r="A8" s="19">
        <v>5</v>
      </c>
      <c r="B8" s="10" t="s">
        <v>827</v>
      </c>
      <c r="C8" s="10" t="s">
        <v>817</v>
      </c>
      <c r="D8" s="10" t="s">
        <v>959</v>
      </c>
      <c r="E8" s="11">
        <v>44641</v>
      </c>
      <c r="F8" s="12"/>
    </row>
    <row r="9" spans="1:6" ht="15.6" x14ac:dyDescent="0.3">
      <c r="A9" s="19">
        <v>6</v>
      </c>
      <c r="B9" s="10" t="s">
        <v>829</v>
      </c>
      <c r="C9" s="10" t="s">
        <v>298</v>
      </c>
      <c r="D9" s="10" t="s">
        <v>959</v>
      </c>
      <c r="E9" s="11">
        <v>44652</v>
      </c>
      <c r="F9" s="12"/>
    </row>
    <row r="10" spans="1:6" ht="15.6" x14ac:dyDescent="0.3">
      <c r="A10" s="19">
        <v>7</v>
      </c>
      <c r="B10" s="10" t="s">
        <v>498</v>
      </c>
      <c r="C10" s="10" t="s">
        <v>298</v>
      </c>
      <c r="D10" s="10" t="s">
        <v>959</v>
      </c>
      <c r="E10" s="11">
        <v>44684</v>
      </c>
      <c r="F10" s="12"/>
    </row>
    <row r="11" spans="1:6" ht="15.6" x14ac:dyDescent="0.3">
      <c r="A11" s="19">
        <v>8</v>
      </c>
      <c r="B11" s="10" t="s">
        <v>831</v>
      </c>
      <c r="C11" s="10" t="s">
        <v>832</v>
      </c>
      <c r="D11" s="10" t="s">
        <v>1460</v>
      </c>
      <c r="E11" s="11">
        <v>44690</v>
      </c>
      <c r="F11" s="12"/>
    </row>
    <row r="12" spans="1:6" ht="15.6" x14ac:dyDescent="0.3">
      <c r="A12" s="19">
        <v>9</v>
      </c>
      <c r="B12" s="10" t="s">
        <v>511</v>
      </c>
      <c r="C12" s="10" t="s">
        <v>298</v>
      </c>
      <c r="D12" s="10" t="s">
        <v>959</v>
      </c>
      <c r="E12" s="11">
        <v>44704</v>
      </c>
      <c r="F12" s="12"/>
    </row>
    <row r="13" spans="1:6" ht="15.6" x14ac:dyDescent="0.3">
      <c r="A13" s="19">
        <v>10</v>
      </c>
      <c r="B13" s="10" t="s">
        <v>524</v>
      </c>
      <c r="C13" s="10" t="s">
        <v>817</v>
      </c>
      <c r="D13" s="10" t="s">
        <v>959</v>
      </c>
      <c r="E13" s="11">
        <v>44705</v>
      </c>
      <c r="F13" s="12"/>
    </row>
    <row r="14" spans="1:6" ht="15.6" x14ac:dyDescent="0.3">
      <c r="A14" s="19">
        <v>11</v>
      </c>
      <c r="B14" s="13" t="s">
        <v>834</v>
      </c>
      <c r="C14" s="13" t="s">
        <v>298</v>
      </c>
      <c r="D14" s="10" t="s">
        <v>959</v>
      </c>
      <c r="E14" s="11">
        <v>44713</v>
      </c>
      <c r="F14" s="14"/>
    </row>
    <row r="15" spans="1:6" ht="15.6" x14ac:dyDescent="0.3">
      <c r="A15" s="19">
        <v>12</v>
      </c>
      <c r="B15" s="13" t="s">
        <v>836</v>
      </c>
      <c r="C15" s="13" t="s">
        <v>837</v>
      </c>
      <c r="D15" s="10" t="s">
        <v>1460</v>
      </c>
      <c r="E15" s="11">
        <v>44749</v>
      </c>
      <c r="F15" s="14"/>
    </row>
    <row r="16" spans="1:6" ht="15.6" x14ac:dyDescent="0.3">
      <c r="A16" s="19">
        <v>13</v>
      </c>
      <c r="B16" s="13" t="s">
        <v>545</v>
      </c>
      <c r="C16" s="13" t="s">
        <v>808</v>
      </c>
      <c r="D16" s="10" t="s">
        <v>1460</v>
      </c>
      <c r="E16" s="11">
        <v>44767</v>
      </c>
      <c r="F16" s="14"/>
    </row>
    <row r="17" spans="1:6" ht="15.6" x14ac:dyDescent="0.3">
      <c r="A17" s="19">
        <v>14</v>
      </c>
      <c r="B17" s="13" t="s">
        <v>540</v>
      </c>
      <c r="C17" s="13" t="s">
        <v>832</v>
      </c>
      <c r="D17" s="10" t="s">
        <v>1460</v>
      </c>
      <c r="E17" s="11">
        <v>44729</v>
      </c>
      <c r="F17" s="14"/>
    </row>
    <row r="18" spans="1:6" ht="15.6" x14ac:dyDescent="0.3">
      <c r="A18" s="19">
        <v>15</v>
      </c>
      <c r="B18" s="13" t="s">
        <v>839</v>
      </c>
      <c r="C18" s="13" t="s">
        <v>840</v>
      </c>
      <c r="D18" s="10" t="s">
        <v>959</v>
      </c>
      <c r="E18" s="11">
        <v>44743</v>
      </c>
      <c r="F18" s="14"/>
    </row>
    <row r="19" spans="1:6" ht="15.6" x14ac:dyDescent="0.3">
      <c r="A19" s="19">
        <v>16</v>
      </c>
      <c r="B19" s="13" t="s">
        <v>842</v>
      </c>
      <c r="C19" s="13" t="s">
        <v>298</v>
      </c>
      <c r="D19" s="10" t="s">
        <v>959</v>
      </c>
      <c r="E19" s="11">
        <v>44756</v>
      </c>
      <c r="F19" s="14"/>
    </row>
    <row r="20" spans="1:6" ht="15.6" x14ac:dyDescent="0.3">
      <c r="A20" s="19">
        <v>17</v>
      </c>
      <c r="B20" s="13" t="s">
        <v>844</v>
      </c>
      <c r="C20" s="13" t="s">
        <v>298</v>
      </c>
      <c r="D20" s="10" t="s">
        <v>959</v>
      </c>
      <c r="E20" s="11">
        <v>44760</v>
      </c>
      <c r="F20" s="14"/>
    </row>
    <row r="21" spans="1:6" ht="15.6" x14ac:dyDescent="0.3">
      <c r="A21" s="19">
        <v>18</v>
      </c>
      <c r="B21" s="13" t="s">
        <v>846</v>
      </c>
      <c r="C21" s="13" t="s">
        <v>298</v>
      </c>
      <c r="D21" s="10" t="s">
        <v>959</v>
      </c>
      <c r="E21" s="11">
        <v>44768</v>
      </c>
      <c r="F21" s="14"/>
    </row>
    <row r="22" spans="1:6" ht="15.6" x14ac:dyDescent="0.3">
      <c r="A22" s="19">
        <v>19</v>
      </c>
      <c r="B22" s="13" t="s">
        <v>847</v>
      </c>
      <c r="C22" s="13" t="s">
        <v>298</v>
      </c>
      <c r="D22" s="10" t="s">
        <v>959</v>
      </c>
      <c r="E22" s="11">
        <v>44774</v>
      </c>
      <c r="F22" s="14"/>
    </row>
    <row r="23" spans="1:6" ht="15.6" x14ac:dyDescent="0.3">
      <c r="A23" s="19">
        <v>20</v>
      </c>
      <c r="B23" s="13" t="s">
        <v>848</v>
      </c>
      <c r="C23" s="13" t="s">
        <v>849</v>
      </c>
      <c r="D23" s="10" t="s">
        <v>959</v>
      </c>
      <c r="E23" s="11">
        <v>44788</v>
      </c>
      <c r="F23" s="14"/>
    </row>
    <row r="24" spans="1:6" ht="15.6" x14ac:dyDescent="0.3">
      <c r="A24" s="19">
        <v>21</v>
      </c>
      <c r="B24" s="13" t="s">
        <v>851</v>
      </c>
      <c r="C24" s="13" t="s">
        <v>104</v>
      </c>
      <c r="D24" s="13" t="s">
        <v>1461</v>
      </c>
      <c r="E24" s="11">
        <v>44818</v>
      </c>
      <c r="F24" s="14"/>
    </row>
    <row r="25" spans="1:6" ht="15.6" x14ac:dyDescent="0.3">
      <c r="A25" s="19">
        <v>22</v>
      </c>
      <c r="B25" s="13" t="s">
        <v>853</v>
      </c>
      <c r="C25" s="13" t="s">
        <v>104</v>
      </c>
      <c r="D25" s="13" t="s">
        <v>1461</v>
      </c>
      <c r="E25" s="11">
        <v>44825</v>
      </c>
      <c r="F25" s="14"/>
    </row>
    <row r="26" spans="1:6" ht="15.6" x14ac:dyDescent="0.3">
      <c r="A26" s="19">
        <v>23</v>
      </c>
      <c r="B26" s="13" t="s">
        <v>855</v>
      </c>
      <c r="C26" s="13" t="s">
        <v>856</v>
      </c>
      <c r="D26" s="10" t="s">
        <v>959</v>
      </c>
      <c r="E26" s="11">
        <v>44826</v>
      </c>
      <c r="F26" s="14"/>
    </row>
    <row r="27" spans="1:6" ht="15.6" x14ac:dyDescent="0.3">
      <c r="A27" s="19">
        <v>24</v>
      </c>
      <c r="B27" s="15" t="s">
        <v>858</v>
      </c>
      <c r="C27" s="13" t="s">
        <v>856</v>
      </c>
      <c r="D27" s="10" t="s">
        <v>959</v>
      </c>
      <c r="E27" s="16">
        <v>44841</v>
      </c>
      <c r="F27" s="14"/>
    </row>
    <row r="28" spans="1:6" ht="15.6" x14ac:dyDescent="0.3">
      <c r="A28" s="19">
        <v>25</v>
      </c>
      <c r="B28" s="15" t="s">
        <v>860</v>
      </c>
      <c r="C28" s="13" t="s">
        <v>840</v>
      </c>
      <c r="D28" s="10" t="s">
        <v>959</v>
      </c>
      <c r="E28" s="16">
        <v>44861</v>
      </c>
      <c r="F28" s="14"/>
    </row>
    <row r="29" spans="1:6" ht="15.6" x14ac:dyDescent="0.3">
      <c r="A29" s="19">
        <v>26</v>
      </c>
      <c r="B29" s="15" t="s">
        <v>862</v>
      </c>
      <c r="C29" s="15" t="s">
        <v>104</v>
      </c>
      <c r="D29" s="13" t="s">
        <v>1461</v>
      </c>
      <c r="E29" s="17">
        <v>44886</v>
      </c>
      <c r="F29" s="14"/>
    </row>
    <row r="30" spans="1:6" ht="15.6" x14ac:dyDescent="0.3">
      <c r="A30" s="409" t="s">
        <v>1457</v>
      </c>
      <c r="B30" s="410"/>
      <c r="C30" s="410"/>
      <c r="D30" s="410"/>
      <c r="E30" s="410"/>
      <c r="F30" s="411"/>
    </row>
    <row r="31" spans="1:6" ht="15.6" x14ac:dyDescent="0.3">
      <c r="A31" s="19">
        <v>1</v>
      </c>
      <c r="B31" s="15" t="s">
        <v>816</v>
      </c>
      <c r="C31" s="15" t="s">
        <v>817</v>
      </c>
      <c r="D31" s="10" t="s">
        <v>959</v>
      </c>
      <c r="E31" s="8"/>
      <c r="F31" s="17" t="s">
        <v>1462</v>
      </c>
    </row>
    <row r="32" spans="1:6" ht="15.6" x14ac:dyDescent="0.3">
      <c r="A32" s="19">
        <v>2</v>
      </c>
      <c r="B32" s="15" t="s">
        <v>819</v>
      </c>
      <c r="C32" s="15" t="s">
        <v>298</v>
      </c>
      <c r="D32" s="10" t="s">
        <v>959</v>
      </c>
      <c r="E32" s="8"/>
      <c r="F32" s="17" t="s">
        <v>1463</v>
      </c>
    </row>
    <row r="33" spans="1:6" ht="15.6" x14ac:dyDescent="0.3">
      <c r="A33" s="19">
        <v>3</v>
      </c>
      <c r="B33" s="15" t="s">
        <v>821</v>
      </c>
      <c r="C33" s="15" t="s">
        <v>822</v>
      </c>
      <c r="D33" s="10" t="s">
        <v>959</v>
      </c>
      <c r="E33" s="8"/>
      <c r="F33" s="17" t="s">
        <v>1464</v>
      </c>
    </row>
    <row r="34" spans="1:6" ht="15.6" x14ac:dyDescent="0.3">
      <c r="A34" s="19">
        <v>4</v>
      </c>
      <c r="B34" s="15" t="s">
        <v>827</v>
      </c>
      <c r="C34" s="15" t="s">
        <v>817</v>
      </c>
      <c r="D34" s="10" t="s">
        <v>959</v>
      </c>
      <c r="E34" s="8"/>
      <c r="F34" s="17" t="s">
        <v>1465</v>
      </c>
    </row>
    <row r="35" spans="1:6" ht="15.6" x14ac:dyDescent="0.3">
      <c r="A35" s="19">
        <v>5</v>
      </c>
      <c r="B35" s="15" t="s">
        <v>829</v>
      </c>
      <c r="C35" s="15" t="s">
        <v>298</v>
      </c>
      <c r="D35" s="10" t="s">
        <v>959</v>
      </c>
      <c r="E35" s="8"/>
      <c r="F35" s="17" t="s">
        <v>1466</v>
      </c>
    </row>
    <row r="36" spans="1:6" ht="15.6" x14ac:dyDescent="0.3">
      <c r="A36" s="19">
        <v>6</v>
      </c>
      <c r="B36" s="15" t="s">
        <v>831</v>
      </c>
      <c r="C36" s="15" t="s">
        <v>832</v>
      </c>
      <c r="D36" s="10" t="s">
        <v>1460</v>
      </c>
      <c r="E36" s="8"/>
      <c r="F36" s="17">
        <v>44730</v>
      </c>
    </row>
    <row r="37" spans="1:6" ht="15.6" x14ac:dyDescent="0.3">
      <c r="A37" s="19">
        <v>7</v>
      </c>
      <c r="B37" s="15" t="s">
        <v>834</v>
      </c>
      <c r="C37" s="15" t="s">
        <v>298</v>
      </c>
      <c r="D37" s="10" t="s">
        <v>959</v>
      </c>
      <c r="E37" s="8"/>
      <c r="F37" s="17" t="s">
        <v>1467</v>
      </c>
    </row>
    <row r="38" spans="1:6" ht="15.6" x14ac:dyDescent="0.3">
      <c r="A38" s="19">
        <v>8</v>
      </c>
      <c r="B38" s="15" t="s">
        <v>839</v>
      </c>
      <c r="C38" s="15" t="s">
        <v>840</v>
      </c>
      <c r="D38" s="10" t="s">
        <v>959</v>
      </c>
      <c r="E38" s="8"/>
      <c r="F38" s="17" t="s">
        <v>1468</v>
      </c>
    </row>
    <row r="39" spans="1:6" ht="15.6" x14ac:dyDescent="0.3">
      <c r="A39" s="19">
        <v>9</v>
      </c>
      <c r="B39" s="15" t="s">
        <v>842</v>
      </c>
      <c r="C39" s="15" t="s">
        <v>298</v>
      </c>
      <c r="D39" s="10" t="s">
        <v>959</v>
      </c>
      <c r="E39" s="8"/>
      <c r="F39" s="17" t="s">
        <v>1469</v>
      </c>
    </row>
    <row r="40" spans="1:6" ht="15.6" x14ac:dyDescent="0.3">
      <c r="A40" s="19">
        <v>10</v>
      </c>
      <c r="B40" s="15" t="s">
        <v>844</v>
      </c>
      <c r="C40" s="15" t="s">
        <v>298</v>
      </c>
      <c r="D40" s="10" t="s">
        <v>959</v>
      </c>
      <c r="E40" s="8"/>
      <c r="F40" s="17" t="s">
        <v>1470</v>
      </c>
    </row>
    <row r="41" spans="1:6" ht="15.6" x14ac:dyDescent="0.3">
      <c r="A41" s="19">
        <v>11</v>
      </c>
      <c r="B41" s="15" t="s">
        <v>848</v>
      </c>
      <c r="C41" s="15" t="s">
        <v>849</v>
      </c>
      <c r="D41" s="10" t="s">
        <v>959</v>
      </c>
      <c r="E41" s="8"/>
      <c r="F41" s="17" t="s">
        <v>1471</v>
      </c>
    </row>
    <row r="42" spans="1:6" ht="15.6" x14ac:dyDescent="0.3">
      <c r="A42" s="19">
        <v>12</v>
      </c>
      <c r="B42" s="15" t="s">
        <v>851</v>
      </c>
      <c r="C42" s="15" t="s">
        <v>104</v>
      </c>
      <c r="D42" s="10" t="s">
        <v>1461</v>
      </c>
      <c r="E42" s="8"/>
      <c r="F42" s="17" t="s">
        <v>1472</v>
      </c>
    </row>
    <row r="43" spans="1:6" ht="15.6" x14ac:dyDescent="0.3">
      <c r="A43" s="19">
        <v>13</v>
      </c>
      <c r="B43" s="15" t="s">
        <v>853</v>
      </c>
      <c r="C43" s="15" t="s">
        <v>104</v>
      </c>
      <c r="D43" s="10" t="s">
        <v>1461</v>
      </c>
      <c r="E43" s="8"/>
      <c r="F43" s="17" t="s">
        <v>1473</v>
      </c>
    </row>
    <row r="44" spans="1:6" ht="15.6" x14ac:dyDescent="0.3">
      <c r="A44" s="19">
        <v>14</v>
      </c>
      <c r="B44" s="15" t="s">
        <v>855</v>
      </c>
      <c r="C44" s="15" t="s">
        <v>856</v>
      </c>
      <c r="D44" s="10" t="s">
        <v>959</v>
      </c>
      <c r="E44" s="8"/>
      <c r="F44" s="17" t="s">
        <v>1474</v>
      </c>
    </row>
    <row r="45" spans="1:6" ht="15.6" x14ac:dyDescent="0.3">
      <c r="A45" s="19">
        <v>15</v>
      </c>
      <c r="B45" s="15" t="s">
        <v>858</v>
      </c>
      <c r="C45" s="15" t="s">
        <v>856</v>
      </c>
      <c r="D45" s="10" t="s">
        <v>959</v>
      </c>
      <c r="E45" s="8"/>
      <c r="F45" s="17" t="s">
        <v>859</v>
      </c>
    </row>
    <row r="46" spans="1:6" ht="15.6" x14ac:dyDescent="0.3">
      <c r="A46" s="19">
        <v>16</v>
      </c>
      <c r="B46" s="15" t="s">
        <v>208</v>
      </c>
      <c r="C46" s="15" t="s">
        <v>1475</v>
      </c>
      <c r="D46" s="10" t="s">
        <v>959</v>
      </c>
      <c r="E46" s="8"/>
      <c r="F46" s="17">
        <v>44587</v>
      </c>
    </row>
    <row r="47" spans="1:6" ht="15.6" x14ac:dyDescent="0.3">
      <c r="A47" s="19">
        <v>17</v>
      </c>
      <c r="B47" s="15" t="s">
        <v>369</v>
      </c>
      <c r="C47" s="15" t="s">
        <v>1060</v>
      </c>
      <c r="D47" s="10" t="s">
        <v>1476</v>
      </c>
      <c r="E47" s="8"/>
      <c r="F47" s="17">
        <v>44680</v>
      </c>
    </row>
    <row r="48" spans="1:6" ht="15.6" x14ac:dyDescent="0.3">
      <c r="A48" s="19">
        <v>19</v>
      </c>
      <c r="B48" s="15" t="s">
        <v>481</v>
      </c>
      <c r="C48" s="15" t="s">
        <v>1070</v>
      </c>
      <c r="D48" s="10" t="s">
        <v>959</v>
      </c>
      <c r="E48" s="8"/>
      <c r="F48" s="17">
        <v>44685</v>
      </c>
    </row>
    <row r="49" spans="1:6" ht="15.6" x14ac:dyDescent="0.3">
      <c r="A49" s="19">
        <v>20</v>
      </c>
      <c r="B49" s="15" t="s">
        <v>815</v>
      </c>
      <c r="C49" s="15" t="s">
        <v>104</v>
      </c>
      <c r="D49" s="10" t="s">
        <v>1461</v>
      </c>
      <c r="E49" s="8"/>
      <c r="F49" s="17">
        <v>44680</v>
      </c>
    </row>
    <row r="50" spans="1:6" ht="15.6" x14ac:dyDescent="0.3">
      <c r="A50" s="19">
        <v>21</v>
      </c>
      <c r="B50" s="15" t="s">
        <v>860</v>
      </c>
      <c r="C50" s="15" t="s">
        <v>1070</v>
      </c>
      <c r="D50" s="10" t="s">
        <v>959</v>
      </c>
      <c r="E50" s="8"/>
      <c r="F50" s="17">
        <v>44743</v>
      </c>
    </row>
    <row r="51" spans="1:6" ht="15.6" x14ac:dyDescent="0.3">
      <c r="A51" s="19">
        <v>22</v>
      </c>
      <c r="B51" s="15"/>
      <c r="C51" s="15"/>
      <c r="D51" s="10"/>
      <c r="E51" s="17"/>
      <c r="F51" s="14"/>
    </row>
  </sheetData>
  <autoFilter ref="A2:F51" xr:uid="{00000000-0009-0000-0000-000005000000}"/>
  <mergeCells count="3">
    <mergeCell ref="B1:F1"/>
    <mergeCell ref="A3:F3"/>
    <mergeCell ref="A30:F3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A51BC-1003-4DAE-BD39-17492E34D950}">
  <sheetPr codeName="Sheet7">
    <outlinePr summaryBelow="0" summaryRight="0"/>
  </sheetPr>
  <dimension ref="A1:I77"/>
  <sheetViews>
    <sheetView zoomScaleNormal="100" workbookViewId="0">
      <pane xSplit="2" ySplit="5" topLeftCell="C47" activePane="bottomRight" state="frozen"/>
      <selection pane="topRight" activeCell="C1" sqref="C1"/>
      <selection pane="bottomLeft" activeCell="A4" sqref="A4"/>
      <selection pane="bottomRight" activeCell="A4" sqref="A4:E4"/>
    </sheetView>
  </sheetViews>
  <sheetFormatPr defaultColWidth="14.44140625" defaultRowHeight="15.75" customHeight="1" x14ac:dyDescent="0.25"/>
  <cols>
    <col min="1" max="1" width="6.44140625" style="56" customWidth="1"/>
    <col min="2" max="2" width="23.33203125" style="1" bestFit="1" customWidth="1"/>
    <col min="3" max="3" width="10.6640625" style="1" customWidth="1"/>
    <col min="4" max="4" width="18.33203125" style="56" customWidth="1"/>
    <col min="5" max="5" width="18.5546875" style="70" customWidth="1"/>
    <col min="6" max="16384" width="14.44140625" style="1"/>
  </cols>
  <sheetData>
    <row r="1" spans="1:9" ht="15.75" customHeight="1" x14ac:dyDescent="0.25">
      <c r="A1" s="412" t="s">
        <v>1596</v>
      </c>
      <c r="B1" s="413"/>
      <c r="C1" s="413"/>
      <c r="D1" s="413"/>
      <c r="E1" s="413"/>
    </row>
    <row r="2" spans="1:9" ht="15.75" customHeight="1" x14ac:dyDescent="0.25">
      <c r="A2" s="413"/>
      <c r="B2" s="413"/>
      <c r="C2" s="413"/>
      <c r="D2" s="413"/>
      <c r="E2" s="413"/>
    </row>
    <row r="3" spans="1:9" ht="15.75" customHeight="1" x14ac:dyDescent="0.25">
      <c r="A3" s="413"/>
      <c r="B3" s="413"/>
      <c r="C3" s="413"/>
      <c r="D3" s="413"/>
      <c r="E3" s="413"/>
    </row>
    <row r="4" spans="1:9" s="57" customFormat="1" ht="26.4" x14ac:dyDescent="0.25">
      <c r="A4" s="111" t="s">
        <v>0</v>
      </c>
      <c r="B4" s="112" t="s">
        <v>1</v>
      </c>
      <c r="C4" s="113" t="s">
        <v>2</v>
      </c>
      <c r="D4" s="114" t="s">
        <v>24</v>
      </c>
      <c r="E4" s="112" t="s">
        <v>25</v>
      </c>
    </row>
    <row r="5" spans="1:9" s="66" customFormat="1" ht="13.2" x14ac:dyDescent="0.25">
      <c r="A5" s="24">
        <f>SUBTOTAL(3,$B$5:B5)</f>
        <v>1</v>
      </c>
      <c r="B5" s="38" t="s">
        <v>33</v>
      </c>
      <c r="C5" s="38" t="s">
        <v>34</v>
      </c>
      <c r="D5" s="39"/>
      <c r="E5" s="39">
        <v>40360</v>
      </c>
      <c r="F5" s="58"/>
      <c r="G5" s="58"/>
      <c r="H5" s="58"/>
      <c r="I5" s="58"/>
    </row>
    <row r="6" spans="1:9" ht="13.2" x14ac:dyDescent="0.25">
      <c r="A6" s="24">
        <f>SUBTOTAL(3,$B$5:B6)</f>
        <v>2</v>
      </c>
      <c r="B6" s="40" t="s">
        <v>46</v>
      </c>
      <c r="C6" s="40" t="s">
        <v>34</v>
      </c>
      <c r="D6" s="39">
        <v>43191</v>
      </c>
      <c r="E6" s="42">
        <v>43191</v>
      </c>
    </row>
    <row r="7" spans="1:9" s="45" customFormat="1" ht="12.75" customHeight="1" x14ac:dyDescent="0.25">
      <c r="A7" s="24">
        <f>SUBTOTAL(3,$B$5:B7)</f>
        <v>3</v>
      </c>
      <c r="B7" s="41" t="s">
        <v>62</v>
      </c>
      <c r="C7" s="41" t="s">
        <v>34</v>
      </c>
      <c r="D7" s="39">
        <v>43330</v>
      </c>
      <c r="E7" s="44">
        <v>43330</v>
      </c>
    </row>
    <row r="8" spans="1:9" ht="15" customHeight="1" x14ac:dyDescent="0.25">
      <c r="A8" s="24">
        <f>SUBTOTAL(3,$B$5:B8)</f>
        <v>4</v>
      </c>
      <c r="B8" s="40" t="s">
        <v>77</v>
      </c>
      <c r="C8" s="40" t="s">
        <v>78</v>
      </c>
      <c r="D8" s="42">
        <v>44341</v>
      </c>
      <c r="E8" s="42">
        <v>44504</v>
      </c>
    </row>
    <row r="9" spans="1:9" ht="13.2" x14ac:dyDescent="0.25">
      <c r="A9" s="24">
        <f>SUBTOTAL(3,$B$5:B9)</f>
        <v>5</v>
      </c>
      <c r="B9" s="40" t="s">
        <v>95</v>
      </c>
      <c r="C9" s="40" t="s">
        <v>34</v>
      </c>
      <c r="D9" s="42">
        <v>41192</v>
      </c>
      <c r="E9" s="42">
        <v>41192</v>
      </c>
    </row>
    <row r="10" spans="1:9" ht="15" customHeight="1" x14ac:dyDescent="0.25">
      <c r="A10" s="24">
        <f>SUBTOTAL(3,$B$5:B10)</f>
        <v>6</v>
      </c>
      <c r="B10" s="40" t="s">
        <v>108</v>
      </c>
      <c r="C10" s="40" t="s">
        <v>34</v>
      </c>
      <c r="D10" s="42">
        <v>43739</v>
      </c>
      <c r="E10" s="42">
        <v>43739</v>
      </c>
    </row>
    <row r="11" spans="1:9" ht="13.2" x14ac:dyDescent="0.25">
      <c r="A11" s="24">
        <f>SUBTOTAL(3,$B$5:B11)</f>
        <v>7</v>
      </c>
      <c r="B11" s="40" t="s">
        <v>120</v>
      </c>
      <c r="C11" s="40" t="s">
        <v>34</v>
      </c>
      <c r="D11" s="39">
        <v>43899</v>
      </c>
      <c r="E11" s="26">
        <v>43960</v>
      </c>
    </row>
    <row r="12" spans="1:9" ht="13.2" x14ac:dyDescent="0.25">
      <c r="A12" s="24">
        <f>SUBTOTAL(3,$B$5:B12)</f>
        <v>8</v>
      </c>
      <c r="B12" s="40" t="s">
        <v>130</v>
      </c>
      <c r="C12" s="40" t="s">
        <v>78</v>
      </c>
      <c r="D12" s="28">
        <v>40422</v>
      </c>
      <c r="E12" s="28">
        <v>40422</v>
      </c>
    </row>
    <row r="13" spans="1:9" ht="13.2" x14ac:dyDescent="0.25">
      <c r="A13" s="24">
        <f>SUBTOTAL(3,$B$5:B13)</f>
        <v>9</v>
      </c>
      <c r="B13" s="40" t="s">
        <v>142</v>
      </c>
      <c r="C13" s="40" t="s">
        <v>78</v>
      </c>
      <c r="D13" s="39">
        <v>42079</v>
      </c>
      <c r="E13" s="42">
        <v>42079</v>
      </c>
    </row>
    <row r="14" spans="1:9" ht="12.75" customHeight="1" x14ac:dyDescent="0.25">
      <c r="A14" s="24">
        <f>SUBTOTAL(3,$B$5:B14)</f>
        <v>10</v>
      </c>
      <c r="B14" s="40" t="s">
        <v>155</v>
      </c>
      <c r="C14" s="40" t="s">
        <v>78</v>
      </c>
      <c r="D14" s="42">
        <v>43314</v>
      </c>
      <c r="E14" s="42">
        <v>43374</v>
      </c>
    </row>
    <row r="15" spans="1:9" ht="13.2" x14ac:dyDescent="0.25">
      <c r="A15" s="24">
        <f>SUBTOTAL(3,$B$5:B15)</f>
        <v>11</v>
      </c>
      <c r="B15" s="40" t="s">
        <v>168</v>
      </c>
      <c r="C15" s="40" t="s">
        <v>34</v>
      </c>
      <c r="D15" s="39">
        <v>43678</v>
      </c>
      <c r="E15" s="42">
        <v>43709</v>
      </c>
    </row>
    <row r="16" spans="1:9" ht="13.2" x14ac:dyDescent="0.25">
      <c r="A16" s="24">
        <f>SUBTOTAL(3,$B$5:B16)</f>
        <v>12</v>
      </c>
      <c r="B16" s="40" t="s">
        <v>183</v>
      </c>
      <c r="C16" s="40" t="s">
        <v>34</v>
      </c>
      <c r="D16" s="39">
        <v>42081</v>
      </c>
      <c r="E16" s="39">
        <v>42081</v>
      </c>
    </row>
    <row r="17" spans="1:5" ht="13.2" x14ac:dyDescent="0.25">
      <c r="A17" s="24">
        <f>SUBTOTAL(3,$B$5:B17)</f>
        <v>13</v>
      </c>
      <c r="B17" s="40" t="s">
        <v>197</v>
      </c>
      <c r="C17" s="40" t="s">
        <v>34</v>
      </c>
      <c r="D17" s="39">
        <v>43598</v>
      </c>
      <c r="E17" s="42">
        <v>43617</v>
      </c>
    </row>
    <row r="18" spans="1:5" ht="12.75" customHeight="1" x14ac:dyDescent="0.25">
      <c r="A18" s="24">
        <f>SUBTOTAL(3,$B$5:B18)</f>
        <v>14</v>
      </c>
      <c r="B18" s="40" t="s">
        <v>211</v>
      </c>
      <c r="C18" s="40" t="s">
        <v>34</v>
      </c>
      <c r="D18" s="39">
        <v>44326</v>
      </c>
      <c r="E18" s="42">
        <v>44326</v>
      </c>
    </row>
    <row r="19" spans="1:5" ht="13.2" x14ac:dyDescent="0.25">
      <c r="A19" s="24">
        <f>SUBTOTAL(3,$B$5:B19)</f>
        <v>15</v>
      </c>
      <c r="B19" s="40" t="s">
        <v>228</v>
      </c>
      <c r="C19" s="40" t="s">
        <v>34</v>
      </c>
      <c r="D19" s="39">
        <v>43693</v>
      </c>
      <c r="E19" s="39">
        <v>43693</v>
      </c>
    </row>
    <row r="20" spans="1:5" ht="12.6" customHeight="1" x14ac:dyDescent="0.25">
      <c r="A20" s="24">
        <f>SUBTOTAL(3,$B$5:B20)</f>
        <v>16</v>
      </c>
      <c r="B20" s="40" t="s">
        <v>243</v>
      </c>
      <c r="C20" s="40" t="s">
        <v>34</v>
      </c>
      <c r="D20" s="39">
        <v>44004</v>
      </c>
      <c r="E20" s="42">
        <v>44005</v>
      </c>
    </row>
    <row r="21" spans="1:5" ht="13.2" x14ac:dyDescent="0.25">
      <c r="A21" s="24">
        <f>SUBTOTAL(3,$B$5:B21)</f>
        <v>17</v>
      </c>
      <c r="B21" s="40" t="s">
        <v>239</v>
      </c>
      <c r="C21" s="40" t="s">
        <v>34</v>
      </c>
      <c r="D21" s="39">
        <v>41395</v>
      </c>
      <c r="E21" s="39">
        <v>41395</v>
      </c>
    </row>
    <row r="22" spans="1:5" ht="15" customHeight="1" x14ac:dyDescent="0.25">
      <c r="A22" s="24">
        <f>SUBTOTAL(3,$B$5:B22)</f>
        <v>18</v>
      </c>
      <c r="B22" s="40" t="s">
        <v>272</v>
      </c>
      <c r="C22" s="40" t="s">
        <v>34</v>
      </c>
      <c r="D22" s="39">
        <v>44007</v>
      </c>
      <c r="E22" s="42">
        <v>44007</v>
      </c>
    </row>
    <row r="23" spans="1:5" ht="13.2" x14ac:dyDescent="0.25">
      <c r="A23" s="24">
        <f>SUBTOTAL(3,$B$5:B23)</f>
        <v>19</v>
      </c>
      <c r="B23" s="40" t="s">
        <v>290</v>
      </c>
      <c r="C23" s="40" t="s">
        <v>34</v>
      </c>
      <c r="D23" s="39">
        <v>44112</v>
      </c>
      <c r="E23" s="42">
        <v>44113</v>
      </c>
    </row>
    <row r="24" spans="1:5" ht="12.75" customHeight="1" x14ac:dyDescent="0.25">
      <c r="A24" s="24">
        <f>SUBTOTAL(3,$B$5:B24)</f>
        <v>20</v>
      </c>
      <c r="B24" s="40" t="s">
        <v>301</v>
      </c>
      <c r="C24" s="40" t="s">
        <v>34</v>
      </c>
      <c r="D24" s="39">
        <v>43983</v>
      </c>
      <c r="E24" s="42">
        <v>43983</v>
      </c>
    </row>
    <row r="25" spans="1:5" ht="13.2" x14ac:dyDescent="0.25">
      <c r="A25" s="24">
        <f>SUBTOTAL(3,$B$5:B25)</f>
        <v>21</v>
      </c>
      <c r="B25" s="40" t="s">
        <v>315</v>
      </c>
      <c r="C25" s="40" t="s">
        <v>34</v>
      </c>
      <c r="D25" s="42">
        <v>43983</v>
      </c>
      <c r="E25" s="42">
        <v>43983</v>
      </c>
    </row>
    <row r="26" spans="1:5" ht="12.75" customHeight="1" x14ac:dyDescent="0.25">
      <c r="A26" s="24">
        <f>SUBTOTAL(3,$B$5:B26)</f>
        <v>22</v>
      </c>
      <c r="B26" s="40" t="s">
        <v>322</v>
      </c>
      <c r="C26" s="40" t="s">
        <v>78</v>
      </c>
      <c r="D26" s="39">
        <v>43992</v>
      </c>
      <c r="E26" s="42">
        <v>43992</v>
      </c>
    </row>
    <row r="27" spans="1:5" ht="13.2" x14ac:dyDescent="0.25">
      <c r="A27" s="24">
        <f>SUBTOTAL(3,$B$5:B27)</f>
        <v>23</v>
      </c>
      <c r="B27" s="40" t="s">
        <v>311</v>
      </c>
      <c r="C27" s="40" t="s">
        <v>34</v>
      </c>
      <c r="D27" s="42">
        <v>41426</v>
      </c>
      <c r="E27" s="42">
        <v>41426</v>
      </c>
    </row>
    <row r="28" spans="1:5" ht="13.2" x14ac:dyDescent="0.25">
      <c r="A28" s="24">
        <f>SUBTOTAL(3,$B$5:B28)</f>
        <v>24</v>
      </c>
      <c r="B28" s="40" t="s">
        <v>345</v>
      </c>
      <c r="C28" s="40" t="s">
        <v>78</v>
      </c>
      <c r="D28" s="42">
        <v>42068</v>
      </c>
      <c r="E28" s="42">
        <v>42068</v>
      </c>
    </row>
    <row r="29" spans="1:5" ht="13.2" x14ac:dyDescent="0.25">
      <c r="A29" s="24">
        <f>SUBTOTAL(3,$B$5:B29)</f>
        <v>25</v>
      </c>
      <c r="B29" s="40" t="s">
        <v>372</v>
      </c>
      <c r="C29" s="40" t="s">
        <v>78</v>
      </c>
      <c r="D29" s="28">
        <v>41640</v>
      </c>
      <c r="E29" s="28">
        <v>41640</v>
      </c>
    </row>
    <row r="30" spans="1:5" ht="13.2" x14ac:dyDescent="0.25">
      <c r="A30" s="24">
        <f>SUBTOTAL(3,$B$5:B30)</f>
        <v>26</v>
      </c>
      <c r="B30" s="40" t="s">
        <v>385</v>
      </c>
      <c r="C30" s="40" t="s">
        <v>34</v>
      </c>
      <c r="D30" s="28">
        <v>42795</v>
      </c>
      <c r="E30" s="42">
        <v>43772</v>
      </c>
    </row>
    <row r="31" spans="1:5" ht="13.2" x14ac:dyDescent="0.25">
      <c r="A31" s="24">
        <f>SUBTOTAL(3,$B$5:B31)</f>
        <v>27</v>
      </c>
      <c r="B31" s="40" t="s">
        <v>398</v>
      </c>
      <c r="C31" s="40" t="s">
        <v>34</v>
      </c>
      <c r="D31" s="28">
        <v>42795</v>
      </c>
      <c r="E31" s="28">
        <v>42795</v>
      </c>
    </row>
    <row r="32" spans="1:5" ht="13.2" x14ac:dyDescent="0.25">
      <c r="A32" s="24">
        <f>SUBTOTAL(3,$B$5:B32)</f>
        <v>28</v>
      </c>
      <c r="B32" s="40" t="s">
        <v>410</v>
      </c>
      <c r="C32" s="40" t="s">
        <v>34</v>
      </c>
      <c r="D32" s="39">
        <v>43452</v>
      </c>
      <c r="E32" s="28">
        <v>43452</v>
      </c>
    </row>
    <row r="33" spans="1:5" ht="13.2" x14ac:dyDescent="0.25">
      <c r="A33" s="24">
        <f>SUBTOTAL(3,$B$5:B33)</f>
        <v>29</v>
      </c>
      <c r="B33" s="40" t="s">
        <v>286</v>
      </c>
      <c r="C33" s="40" t="s">
        <v>34</v>
      </c>
      <c r="D33" s="39">
        <v>43570</v>
      </c>
      <c r="E33" s="42">
        <v>43575</v>
      </c>
    </row>
    <row r="34" spans="1:5" s="49" customFormat="1" ht="13.2" x14ac:dyDescent="0.25">
      <c r="A34" s="24">
        <f>SUBTOTAL(3,$B$5:B34)</f>
        <v>30</v>
      </c>
      <c r="B34" s="48" t="s">
        <v>435</v>
      </c>
      <c r="C34" s="48" t="s">
        <v>34</v>
      </c>
      <c r="D34" s="39">
        <v>43750</v>
      </c>
      <c r="E34" s="26">
        <v>43811</v>
      </c>
    </row>
    <row r="35" spans="1:5" ht="15" customHeight="1" x14ac:dyDescent="0.25">
      <c r="A35" s="24">
        <f>SUBTOTAL(3,$B$5:B35)</f>
        <v>31</v>
      </c>
      <c r="B35" s="40" t="s">
        <v>447</v>
      </c>
      <c r="C35" s="40" t="s">
        <v>34</v>
      </c>
      <c r="D35" s="28">
        <v>44487</v>
      </c>
      <c r="E35" s="28">
        <v>44487</v>
      </c>
    </row>
    <row r="36" spans="1:5" ht="15.75" customHeight="1" x14ac:dyDescent="0.25">
      <c r="A36" s="24">
        <f>SUBTOTAL(3,$B$5:B36)</f>
        <v>32</v>
      </c>
      <c r="B36" s="40" t="s">
        <v>462</v>
      </c>
      <c r="C36" s="40" t="s">
        <v>34</v>
      </c>
      <c r="D36" s="28">
        <v>44341</v>
      </c>
      <c r="E36" s="28">
        <v>44402</v>
      </c>
    </row>
    <row r="37" spans="1:5" ht="15.75" customHeight="1" x14ac:dyDescent="0.25">
      <c r="A37" s="24">
        <f>SUBTOTAL(3,$B$5:B37)</f>
        <v>33</v>
      </c>
      <c r="B37" s="40" t="s">
        <v>468</v>
      </c>
      <c r="C37" s="40" t="s">
        <v>34</v>
      </c>
      <c r="D37" s="28">
        <v>44487</v>
      </c>
      <c r="E37" s="28">
        <v>44518</v>
      </c>
    </row>
    <row r="38" spans="1:5" ht="15.75" customHeight="1" x14ac:dyDescent="0.25">
      <c r="A38" s="24">
        <f>SUBTOTAL(3,$B$5:B38)</f>
        <v>34</v>
      </c>
      <c r="B38" s="40" t="s">
        <v>485</v>
      </c>
      <c r="C38" s="40" t="s">
        <v>34</v>
      </c>
      <c r="D38" s="28">
        <v>44494</v>
      </c>
      <c r="E38" s="28">
        <v>44555</v>
      </c>
    </row>
    <row r="39" spans="1:5" ht="15.75" customHeight="1" x14ac:dyDescent="0.25">
      <c r="A39" s="24">
        <f>SUBTOTAL(3,$B$5:B39)</f>
        <v>35</v>
      </c>
      <c r="B39" s="40" t="s">
        <v>494</v>
      </c>
      <c r="C39" s="40" t="s">
        <v>34</v>
      </c>
      <c r="D39" s="28">
        <v>44525</v>
      </c>
      <c r="E39" s="28">
        <v>44555</v>
      </c>
    </row>
    <row r="40" spans="1:5" ht="15.75" customHeight="1" x14ac:dyDescent="0.25">
      <c r="A40" s="24">
        <f>SUBTOTAL(3,$B$5:B40)</f>
        <v>36</v>
      </c>
      <c r="B40" s="25" t="s">
        <v>498</v>
      </c>
      <c r="C40" s="25" t="s">
        <v>34</v>
      </c>
      <c r="D40" s="28">
        <v>44684</v>
      </c>
      <c r="E40" s="28">
        <v>44745</v>
      </c>
    </row>
    <row r="41" spans="1:5" ht="15.75" customHeight="1" x14ac:dyDescent="0.25">
      <c r="A41" s="24">
        <f>SUBTOTAL(3,$B$5:B41)</f>
        <v>37</v>
      </c>
      <c r="B41" s="25" t="s">
        <v>511</v>
      </c>
      <c r="C41" s="25" t="s">
        <v>34</v>
      </c>
      <c r="D41" s="51">
        <v>44704</v>
      </c>
      <c r="E41" s="50" t="s">
        <v>522</v>
      </c>
    </row>
    <row r="42" spans="1:5" ht="15.75" customHeight="1" x14ac:dyDescent="0.25">
      <c r="A42" s="24">
        <f>SUBTOTAL(3,$B$5:B42)</f>
        <v>38</v>
      </c>
      <c r="B42" s="43" t="s">
        <v>524</v>
      </c>
      <c r="C42" s="27" t="s">
        <v>34</v>
      </c>
      <c r="D42" s="28">
        <v>44705</v>
      </c>
      <c r="E42" s="50" t="s">
        <v>538</v>
      </c>
    </row>
    <row r="43" spans="1:5" ht="15.75" customHeight="1" x14ac:dyDescent="0.25">
      <c r="A43" s="24">
        <f>SUBTOTAL(3,$B$5:B43)</f>
        <v>39</v>
      </c>
      <c r="B43" s="43" t="s">
        <v>540</v>
      </c>
      <c r="C43" s="43" t="s">
        <v>34</v>
      </c>
      <c r="D43" s="28">
        <v>44729</v>
      </c>
      <c r="E43" s="28">
        <v>44790</v>
      </c>
    </row>
    <row r="44" spans="1:5" ht="15.75" customHeight="1" x14ac:dyDescent="0.25">
      <c r="A44" s="24">
        <f>SUBTOTAL(3,$B$5:B44)</f>
        <v>40</v>
      </c>
      <c r="B44" s="40" t="s">
        <v>545</v>
      </c>
      <c r="C44" s="46" t="s">
        <v>34</v>
      </c>
      <c r="D44" s="52">
        <v>44767</v>
      </c>
      <c r="E44" s="52">
        <v>44767</v>
      </c>
    </row>
    <row r="45" spans="1:5" ht="15.75" customHeight="1" x14ac:dyDescent="0.25">
      <c r="A45" s="24">
        <f>SUBTOTAL(3,$B$5:B45)</f>
        <v>41</v>
      </c>
      <c r="B45" s="25" t="s">
        <v>564</v>
      </c>
      <c r="C45" s="25" t="s">
        <v>34</v>
      </c>
      <c r="D45" s="51">
        <v>45049</v>
      </c>
      <c r="E45" s="51">
        <v>45110</v>
      </c>
    </row>
    <row r="46" spans="1:5" ht="15.75" customHeight="1" x14ac:dyDescent="0.25">
      <c r="A46" s="24">
        <f>SUBTOTAL(3,$B$5:B46)</f>
        <v>42</v>
      </c>
      <c r="B46" s="25" t="s">
        <v>572</v>
      </c>
      <c r="C46" s="25" t="s">
        <v>34</v>
      </c>
      <c r="D46" s="51">
        <v>45063</v>
      </c>
      <c r="E46" s="51">
        <v>45124</v>
      </c>
    </row>
    <row r="47" spans="1:5" ht="15.75" customHeight="1" x14ac:dyDescent="0.25">
      <c r="A47" s="24">
        <f>SUBTOTAL(3,$B$5:B47)</f>
        <v>43</v>
      </c>
      <c r="B47" s="25" t="s">
        <v>580</v>
      </c>
      <c r="C47" s="25" t="s">
        <v>34</v>
      </c>
      <c r="D47" s="28">
        <v>45068</v>
      </c>
      <c r="E47" s="28">
        <v>45129</v>
      </c>
    </row>
    <row r="48" spans="1:5" ht="15.75" customHeight="1" x14ac:dyDescent="0.25">
      <c r="A48" s="24">
        <f>SUBTOTAL(3,$B$5:B48)</f>
        <v>44</v>
      </c>
      <c r="B48" s="25" t="s">
        <v>369</v>
      </c>
      <c r="C48" s="25" t="s">
        <v>34</v>
      </c>
      <c r="D48" s="28">
        <v>45100</v>
      </c>
      <c r="E48" s="28">
        <v>45100</v>
      </c>
    </row>
    <row r="49" spans="1:5" ht="15.75" customHeight="1" x14ac:dyDescent="0.25">
      <c r="A49" s="24">
        <f>SUBTOTAL(3,$B$5:B49)</f>
        <v>45</v>
      </c>
      <c r="B49" s="25" t="s">
        <v>612</v>
      </c>
      <c r="C49" s="25" t="s">
        <v>34</v>
      </c>
      <c r="D49" s="28">
        <v>45104</v>
      </c>
      <c r="E49" s="28">
        <v>45165</v>
      </c>
    </row>
    <row r="50" spans="1:5" ht="15.75" customHeight="1" x14ac:dyDescent="0.25">
      <c r="A50" s="24">
        <f>SUBTOTAL(3,$B$5:B50)</f>
        <v>46</v>
      </c>
      <c r="B50" s="25" t="s">
        <v>625</v>
      </c>
      <c r="C50" s="25" t="s">
        <v>34</v>
      </c>
      <c r="D50" s="28">
        <v>45152</v>
      </c>
      <c r="E50" s="28">
        <v>45213</v>
      </c>
    </row>
    <row r="51" spans="1:5" ht="15.75" customHeight="1" x14ac:dyDescent="0.25">
      <c r="A51" s="24">
        <f>SUBTOTAL(3,$B$5:B51)</f>
        <v>47</v>
      </c>
      <c r="B51" s="25" t="s">
        <v>642</v>
      </c>
      <c r="C51" s="25" t="s">
        <v>34</v>
      </c>
      <c r="D51" s="28">
        <v>45153</v>
      </c>
      <c r="E51" s="28">
        <v>45214</v>
      </c>
    </row>
    <row r="52" spans="1:5" ht="15.75" customHeight="1" x14ac:dyDescent="0.25">
      <c r="A52" s="24">
        <f>SUBTOTAL(3,$B$5:B52)</f>
        <v>48</v>
      </c>
      <c r="B52" s="25" t="s">
        <v>649</v>
      </c>
      <c r="C52" s="25" t="s">
        <v>34</v>
      </c>
      <c r="D52" s="28">
        <v>45200</v>
      </c>
      <c r="E52" s="28">
        <v>45231</v>
      </c>
    </row>
    <row r="53" spans="1:5" ht="15.75" customHeight="1" x14ac:dyDescent="0.25">
      <c r="A53" s="24">
        <f>SUBTOTAL(3,$B$5:B53)</f>
        <v>49</v>
      </c>
      <c r="B53" s="25" t="s">
        <v>667</v>
      </c>
      <c r="C53" s="25" t="s">
        <v>34</v>
      </c>
      <c r="D53" s="52">
        <v>45915</v>
      </c>
      <c r="E53" s="28">
        <v>45945</v>
      </c>
    </row>
    <row r="54" spans="1:5" ht="15.75" customHeight="1" x14ac:dyDescent="0.25">
      <c r="A54" s="24">
        <f>SUBTOTAL(3,$B$5:B54)</f>
        <v>50</v>
      </c>
      <c r="B54" s="25" t="s">
        <v>101</v>
      </c>
      <c r="C54" s="25" t="s">
        <v>78</v>
      </c>
      <c r="D54" s="28">
        <v>45474</v>
      </c>
      <c r="E54" s="28">
        <v>45536</v>
      </c>
    </row>
    <row r="55" spans="1:5" ht="15.75" customHeight="1" x14ac:dyDescent="0.25">
      <c r="A55" s="24">
        <f>SUBTOTAL(3,$B$5:B55)</f>
        <v>51</v>
      </c>
      <c r="B55" s="25" t="s">
        <v>677</v>
      </c>
      <c r="C55" s="25" t="s">
        <v>34</v>
      </c>
      <c r="D55" s="28">
        <v>45488</v>
      </c>
      <c r="E55" s="28">
        <v>45550</v>
      </c>
    </row>
    <row r="56" spans="1:5" ht="15.75" customHeight="1" x14ac:dyDescent="0.25">
      <c r="A56" s="24">
        <f>SUBTOTAL(3,$B$5:B56)</f>
        <v>52</v>
      </c>
      <c r="B56" s="25" t="s">
        <v>686</v>
      </c>
      <c r="C56" s="25" t="s">
        <v>34</v>
      </c>
      <c r="D56" s="28">
        <v>45505</v>
      </c>
      <c r="E56" s="28">
        <v>45566</v>
      </c>
    </row>
    <row r="57" spans="1:5" ht="15.75" customHeight="1" x14ac:dyDescent="0.25">
      <c r="A57" s="24">
        <f>SUBTOTAL(3,$B$5:B57)</f>
        <v>53</v>
      </c>
      <c r="B57" s="25" t="s">
        <v>710</v>
      </c>
      <c r="C57" s="25" t="s">
        <v>34</v>
      </c>
      <c r="D57" s="28">
        <v>45547</v>
      </c>
      <c r="E57" s="28">
        <v>45608</v>
      </c>
    </row>
    <row r="58" spans="1:5" ht="15.75" customHeight="1" x14ac:dyDescent="0.25">
      <c r="A58" s="24">
        <f>SUBTOTAL(3,$B$5:B58)</f>
        <v>54</v>
      </c>
      <c r="B58" s="25" t="s">
        <v>722</v>
      </c>
      <c r="C58" s="25" t="s">
        <v>34</v>
      </c>
      <c r="D58" s="28">
        <v>45561</v>
      </c>
      <c r="E58" s="28">
        <v>45627</v>
      </c>
    </row>
    <row r="59" spans="1:5" ht="15.75" customHeight="1" x14ac:dyDescent="0.25">
      <c r="A59" s="24">
        <f>SUBTOTAL(3,$B$5:B59)</f>
        <v>55</v>
      </c>
      <c r="B59" s="25" t="s">
        <v>731</v>
      </c>
      <c r="C59" s="25" t="s">
        <v>34</v>
      </c>
      <c r="D59" s="28">
        <v>45562</v>
      </c>
      <c r="E59" s="28">
        <v>45627</v>
      </c>
    </row>
    <row r="60" spans="1:5" ht="15.75" customHeight="1" x14ac:dyDescent="0.25">
      <c r="A60" s="24">
        <f>SUBTOTAL(3,$B$5:B60)</f>
        <v>56</v>
      </c>
      <c r="B60" s="25" t="s">
        <v>743</v>
      </c>
      <c r="C60" s="25" t="s">
        <v>34</v>
      </c>
      <c r="D60" s="28">
        <v>45566</v>
      </c>
      <c r="E60" s="28">
        <v>45627</v>
      </c>
    </row>
    <row r="61" spans="1:5" ht="15.75" customHeight="1" x14ac:dyDescent="0.25">
      <c r="A61" s="24">
        <f>SUBTOTAL(3,$B$5:B61)</f>
        <v>57</v>
      </c>
      <c r="B61" s="25" t="s">
        <v>208</v>
      </c>
      <c r="C61" s="25" t="s">
        <v>34</v>
      </c>
      <c r="D61" s="28">
        <v>45580</v>
      </c>
      <c r="E61" s="28">
        <v>45580</v>
      </c>
    </row>
    <row r="62" spans="1:5" ht="15.75" customHeight="1" x14ac:dyDescent="0.25">
      <c r="A62" s="24">
        <f>SUBTOTAL(3,$B$5:B62)</f>
        <v>58</v>
      </c>
      <c r="B62" s="25" t="s">
        <v>763</v>
      </c>
      <c r="C62" s="25" t="s">
        <v>34</v>
      </c>
      <c r="D62" s="28">
        <v>45607</v>
      </c>
      <c r="E62" s="28">
        <v>45668</v>
      </c>
    </row>
    <row r="63" spans="1:5" ht="15.75" customHeight="1" x14ac:dyDescent="0.25">
      <c r="A63" s="24">
        <f>SUBTOTAL(3,$B$5:B63)</f>
        <v>59</v>
      </c>
      <c r="B63" s="25" t="s">
        <v>776</v>
      </c>
      <c r="C63" s="25" t="s">
        <v>34</v>
      </c>
      <c r="D63" s="55" t="s">
        <v>785</v>
      </c>
      <c r="E63" s="28">
        <v>45675</v>
      </c>
    </row>
    <row r="64" spans="1:5" ht="15.6" customHeight="1" x14ac:dyDescent="0.25">
      <c r="A64" s="24">
        <f>SUBTOTAL(3,$B$5:B64)</f>
        <v>60</v>
      </c>
      <c r="B64" s="25" t="s">
        <v>787</v>
      </c>
      <c r="C64" s="25" t="s">
        <v>78</v>
      </c>
      <c r="D64" s="55" t="s">
        <v>1481</v>
      </c>
      <c r="E64" s="28">
        <v>45444</v>
      </c>
    </row>
    <row r="65" spans="1:5" ht="15.6" customHeight="1" x14ac:dyDescent="0.25">
      <c r="A65" s="24">
        <f>SUBTOTAL(3,$B$5:B65)</f>
        <v>61</v>
      </c>
      <c r="B65" s="25" t="s">
        <v>1491</v>
      </c>
      <c r="C65" s="25" t="s">
        <v>34</v>
      </c>
      <c r="D65" s="50">
        <v>45751</v>
      </c>
      <c r="E65" s="28">
        <v>45812</v>
      </c>
    </row>
    <row r="66" spans="1:5" ht="15.6" customHeight="1" x14ac:dyDescent="0.25">
      <c r="A66" s="24">
        <f>SUBTOTAL(3,$B$5:B66)</f>
        <v>62</v>
      </c>
      <c r="B66" s="25" t="s">
        <v>1493</v>
      </c>
      <c r="C66" s="25" t="s">
        <v>34</v>
      </c>
      <c r="D66" s="50">
        <v>45755</v>
      </c>
      <c r="E66" s="28">
        <v>45816</v>
      </c>
    </row>
    <row r="67" spans="1:5" ht="15.6" customHeight="1" x14ac:dyDescent="0.25">
      <c r="A67" s="24">
        <f>SUBTOTAL(3,$B$5:B67)</f>
        <v>63</v>
      </c>
      <c r="B67" s="25" t="s">
        <v>1494</v>
      </c>
      <c r="C67" s="25" t="s">
        <v>34</v>
      </c>
      <c r="D67" s="50">
        <v>45763</v>
      </c>
      <c r="E67" s="28">
        <v>45763</v>
      </c>
    </row>
    <row r="68" spans="1:5" ht="15.6" customHeight="1" x14ac:dyDescent="0.25">
      <c r="A68" s="24">
        <f>SUBTOTAL(3,$B$5:B68)</f>
        <v>64</v>
      </c>
      <c r="B68" s="25" t="s">
        <v>1496</v>
      </c>
      <c r="C68" s="25" t="s">
        <v>34</v>
      </c>
      <c r="D68" s="50">
        <v>45768</v>
      </c>
      <c r="E68" s="28">
        <v>45829</v>
      </c>
    </row>
    <row r="69" spans="1:5" ht="15.6" customHeight="1" x14ac:dyDescent="0.25">
      <c r="A69" s="24">
        <f>SUBTOTAL(3,$B$5:B69)</f>
        <v>65</v>
      </c>
      <c r="B69" s="25" t="s">
        <v>1500</v>
      </c>
      <c r="C69" s="25" t="s">
        <v>34</v>
      </c>
      <c r="D69" s="50">
        <v>45782</v>
      </c>
      <c r="E69" s="28">
        <v>45843</v>
      </c>
    </row>
    <row r="70" spans="1:5" ht="15.6" customHeight="1" x14ac:dyDescent="0.25">
      <c r="A70" s="24">
        <f>SUBTOTAL(3,$B$5:B70)</f>
        <v>66</v>
      </c>
      <c r="B70" s="25" t="s">
        <v>1506</v>
      </c>
      <c r="C70" s="25" t="s">
        <v>34</v>
      </c>
      <c r="D70" s="50">
        <v>45785</v>
      </c>
      <c r="E70" s="28">
        <v>45846</v>
      </c>
    </row>
    <row r="71" spans="1:5" ht="15.6" customHeight="1" x14ac:dyDescent="0.25">
      <c r="A71" s="24">
        <f>SUBTOTAL(3,$B$5:B71)</f>
        <v>67</v>
      </c>
      <c r="B71" s="25" t="s">
        <v>1567</v>
      </c>
      <c r="C71" s="25" t="s">
        <v>34</v>
      </c>
      <c r="D71" s="50" t="s">
        <v>1583</v>
      </c>
      <c r="E71" s="28">
        <v>45902</v>
      </c>
    </row>
    <row r="72" spans="1:5" ht="15.6" customHeight="1" x14ac:dyDescent="0.25">
      <c r="A72" s="24">
        <f>SUBTOTAL(3,$B$5:B72)</f>
        <v>68</v>
      </c>
      <c r="B72" s="25" t="s">
        <v>1578</v>
      </c>
      <c r="C72" s="25" t="s">
        <v>34</v>
      </c>
      <c r="D72" s="50">
        <v>45839</v>
      </c>
      <c r="E72" s="28">
        <v>45901</v>
      </c>
    </row>
    <row r="73" spans="1:5" ht="15.6" customHeight="1" x14ac:dyDescent="0.25">
      <c r="A73" s="24">
        <f>SUBTOTAL(3,$B$5:B73)</f>
        <v>69</v>
      </c>
      <c r="B73" s="25" t="s">
        <v>1579</v>
      </c>
      <c r="C73" s="25" t="s">
        <v>34</v>
      </c>
      <c r="D73" s="50">
        <v>45839</v>
      </c>
      <c r="E73" s="28">
        <v>45901</v>
      </c>
    </row>
    <row r="74" spans="1:5" ht="15.6" customHeight="1" x14ac:dyDescent="0.25">
      <c r="A74" s="24">
        <f>SUBTOTAL(3,$B$5:B74)</f>
        <v>70</v>
      </c>
      <c r="B74" s="25" t="s">
        <v>1580</v>
      </c>
      <c r="C74" s="25" t="s">
        <v>34</v>
      </c>
      <c r="D74" s="50">
        <v>45848</v>
      </c>
      <c r="E74" s="28">
        <v>45910</v>
      </c>
    </row>
    <row r="75" spans="1:5" ht="15.6" customHeight="1" x14ac:dyDescent="0.25">
      <c r="A75" s="24">
        <f>SUBTOTAL(3,$B$5:B75)</f>
        <v>71</v>
      </c>
      <c r="B75" s="25" t="s">
        <v>1594</v>
      </c>
      <c r="C75" s="25" t="s">
        <v>34</v>
      </c>
      <c r="D75" s="50">
        <v>45866</v>
      </c>
      <c r="E75" s="28">
        <v>45928</v>
      </c>
    </row>
    <row r="76" spans="1:5" ht="15.6" customHeight="1" x14ac:dyDescent="0.25">
      <c r="A76" s="24">
        <f>SUBTOTAL(3,$B$5:B76)</f>
        <v>72</v>
      </c>
      <c r="B76" s="25" t="s">
        <v>1595</v>
      </c>
      <c r="C76" s="25" t="s">
        <v>78</v>
      </c>
      <c r="D76" s="50">
        <v>45905</v>
      </c>
      <c r="E76" s="28">
        <v>45966</v>
      </c>
    </row>
    <row r="77" spans="1:5" ht="15.6" customHeight="1" x14ac:dyDescent="0.25">
      <c r="A77" s="24">
        <f>SUBTOTAL(3,$B$5:B77)</f>
        <v>73</v>
      </c>
      <c r="B77" s="25" t="s">
        <v>1597</v>
      </c>
      <c r="C77" s="25" t="s">
        <v>34</v>
      </c>
      <c r="D77" s="50"/>
      <c r="E77" s="28"/>
    </row>
  </sheetData>
  <autoFilter ref="A4:E74" xr:uid="{00000000-0009-0000-0000-000000000000}"/>
  <mergeCells count="1">
    <mergeCell ref="A1:E3"/>
  </mergeCells>
  <conditionalFormatting sqref="B5:B36">
    <cfRule type="duplicateValues" dxfId="3" priority="76"/>
  </conditionalFormatting>
  <conditionalFormatting sqref="B37:B39">
    <cfRule type="duplicateValues" dxfId="2" priority="6"/>
  </conditionalFormatting>
  <conditionalFormatting sqref="B44">
    <cfRule type="duplicateValues" dxfId="1" priority="4"/>
  </conditionalFormatting>
  <pageMargins left="0.7" right="0.7" top="0.75" bottom="0.75" header="0.3" footer="0.3"/>
  <pageSetup orientation="portrait" horizontalDpi="4294967293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9023-81A4-485D-A629-DA60BBF8F2A8}">
  <dimension ref="A2:F19"/>
  <sheetViews>
    <sheetView topLeftCell="A4" workbookViewId="0">
      <selection activeCell="F10" sqref="F10"/>
    </sheetView>
  </sheetViews>
  <sheetFormatPr defaultColWidth="9.109375" defaultRowHeight="13.2" x14ac:dyDescent="0.25"/>
  <cols>
    <col min="1" max="1" width="5.5546875" style="63" customWidth="1"/>
    <col min="2" max="2" width="9.109375" style="65"/>
    <col min="3" max="3" width="14.33203125" style="63" customWidth="1"/>
    <col min="4" max="4" width="12.44140625" style="63" customWidth="1"/>
    <col min="5" max="5" width="13.6640625" style="63" customWidth="1"/>
    <col min="6" max="16384" width="9.109375" style="63"/>
  </cols>
  <sheetData>
    <row r="2" spans="1:6" s="61" customFormat="1" ht="19.5" customHeight="1" x14ac:dyDescent="0.25">
      <c r="A2" s="119" t="s">
        <v>794</v>
      </c>
      <c r="B2" s="119" t="s">
        <v>1648</v>
      </c>
      <c r="C2" s="119" t="s">
        <v>1649</v>
      </c>
      <c r="D2" s="119" t="s">
        <v>1650</v>
      </c>
      <c r="E2" s="119" t="s">
        <v>1651</v>
      </c>
      <c r="F2" s="120"/>
    </row>
    <row r="3" spans="1:6" ht="21" customHeight="1" x14ac:dyDescent="0.25">
      <c r="A3" s="62">
        <v>1</v>
      </c>
      <c r="B3" s="64">
        <v>2010</v>
      </c>
      <c r="C3" s="62">
        <v>2</v>
      </c>
      <c r="D3" s="62">
        <v>2</v>
      </c>
      <c r="E3" s="62"/>
      <c r="F3" s="68">
        <f>C3/$C$19</f>
        <v>2.7777777777777776E-2</v>
      </c>
    </row>
    <row r="4" spans="1:6" ht="21" customHeight="1" x14ac:dyDescent="0.25">
      <c r="A4" s="62">
        <v>2</v>
      </c>
      <c r="B4" s="64">
        <v>2011</v>
      </c>
      <c r="C4" s="62">
        <v>0</v>
      </c>
      <c r="D4" s="62"/>
      <c r="E4" s="62"/>
      <c r="F4" s="68">
        <f t="shared" ref="F4:F18" si="0">C4/$C$19</f>
        <v>0</v>
      </c>
    </row>
    <row r="5" spans="1:6" ht="21" customHeight="1" x14ac:dyDescent="0.25">
      <c r="A5" s="62">
        <v>3</v>
      </c>
      <c r="B5" s="64">
        <v>2012</v>
      </c>
      <c r="C5" s="62">
        <v>1</v>
      </c>
      <c r="D5" s="62"/>
      <c r="E5" s="62">
        <v>1</v>
      </c>
      <c r="F5" s="68">
        <f t="shared" si="0"/>
        <v>1.3888888888888888E-2</v>
      </c>
    </row>
    <row r="6" spans="1:6" ht="21" customHeight="1" x14ac:dyDescent="0.25">
      <c r="A6" s="62">
        <v>4</v>
      </c>
      <c r="B6" s="64">
        <v>2013</v>
      </c>
      <c r="C6" s="62">
        <v>2</v>
      </c>
      <c r="D6" s="62">
        <v>1</v>
      </c>
      <c r="E6" s="62">
        <v>1</v>
      </c>
      <c r="F6" s="68">
        <f t="shared" si="0"/>
        <v>2.7777777777777776E-2</v>
      </c>
    </row>
    <row r="7" spans="1:6" ht="21" customHeight="1" x14ac:dyDescent="0.25">
      <c r="A7" s="62">
        <v>5</v>
      </c>
      <c r="B7" s="64">
        <v>2014</v>
      </c>
      <c r="C7" s="62">
        <v>1</v>
      </c>
      <c r="D7" s="62"/>
      <c r="E7" s="62">
        <v>1</v>
      </c>
      <c r="F7" s="68">
        <f t="shared" si="0"/>
        <v>1.3888888888888888E-2</v>
      </c>
    </row>
    <row r="8" spans="1:6" ht="21" customHeight="1" x14ac:dyDescent="0.25">
      <c r="A8" s="62">
        <v>6</v>
      </c>
      <c r="B8" s="64">
        <v>2015</v>
      </c>
      <c r="C8" s="62">
        <v>3</v>
      </c>
      <c r="D8" s="62">
        <v>1</v>
      </c>
      <c r="E8" s="62">
        <v>2</v>
      </c>
      <c r="F8" s="68">
        <f t="shared" si="0"/>
        <v>4.1666666666666664E-2</v>
      </c>
    </row>
    <row r="9" spans="1:6" ht="21" customHeight="1" x14ac:dyDescent="0.25">
      <c r="A9" s="62">
        <v>7</v>
      </c>
      <c r="B9" s="64">
        <v>2016</v>
      </c>
      <c r="C9" s="62"/>
      <c r="D9" s="62"/>
      <c r="E9" s="62"/>
      <c r="F9" s="68">
        <f t="shared" si="0"/>
        <v>0</v>
      </c>
    </row>
    <row r="10" spans="1:6" ht="21" customHeight="1" x14ac:dyDescent="0.25">
      <c r="A10" s="62">
        <v>8</v>
      </c>
      <c r="B10" s="64">
        <v>2017</v>
      </c>
      <c r="C10" s="62">
        <v>2</v>
      </c>
      <c r="D10" s="62">
        <v>1</v>
      </c>
      <c r="E10" s="62">
        <v>1</v>
      </c>
      <c r="F10" s="68">
        <f t="shared" si="0"/>
        <v>2.7777777777777776E-2</v>
      </c>
    </row>
    <row r="11" spans="1:6" ht="21" customHeight="1" x14ac:dyDescent="0.25">
      <c r="A11" s="62">
        <v>9</v>
      </c>
      <c r="B11" s="64">
        <v>2018</v>
      </c>
      <c r="C11" s="62">
        <v>4</v>
      </c>
      <c r="D11" s="62">
        <v>2</v>
      </c>
      <c r="E11" s="62">
        <v>2</v>
      </c>
      <c r="F11" s="68">
        <f t="shared" si="0"/>
        <v>5.5555555555555552E-2</v>
      </c>
    </row>
    <row r="12" spans="1:6" ht="21" customHeight="1" x14ac:dyDescent="0.25">
      <c r="A12" s="62">
        <v>10</v>
      </c>
      <c r="B12" s="64">
        <v>2019</v>
      </c>
      <c r="C12" s="62">
        <v>6</v>
      </c>
      <c r="D12" s="62">
        <v>2</v>
      </c>
      <c r="E12" s="62">
        <v>4</v>
      </c>
      <c r="F12" s="68">
        <f t="shared" si="0"/>
        <v>8.3333333333333329E-2</v>
      </c>
    </row>
    <row r="13" spans="1:6" ht="21" customHeight="1" x14ac:dyDescent="0.25">
      <c r="A13" s="62">
        <v>11</v>
      </c>
      <c r="B13" s="64">
        <v>2020</v>
      </c>
      <c r="C13" s="62">
        <v>7</v>
      </c>
      <c r="D13" s="62"/>
      <c r="E13" s="62"/>
      <c r="F13" s="68">
        <f t="shared" si="0"/>
        <v>9.7222222222222224E-2</v>
      </c>
    </row>
    <row r="14" spans="1:6" ht="21" customHeight="1" x14ac:dyDescent="0.25">
      <c r="A14" s="62">
        <v>12</v>
      </c>
      <c r="B14" s="64">
        <v>2021</v>
      </c>
      <c r="C14" s="62">
        <v>7</v>
      </c>
      <c r="D14" s="62"/>
      <c r="E14" s="62"/>
      <c r="F14" s="68">
        <f t="shared" si="0"/>
        <v>9.7222222222222224E-2</v>
      </c>
    </row>
    <row r="15" spans="1:6" ht="21" customHeight="1" x14ac:dyDescent="0.25">
      <c r="A15" s="62">
        <v>13</v>
      </c>
      <c r="B15" s="64">
        <v>2022</v>
      </c>
      <c r="C15" s="62">
        <v>5</v>
      </c>
      <c r="D15" s="62"/>
      <c r="E15" s="62"/>
      <c r="F15" s="68">
        <f t="shared" si="0"/>
        <v>6.9444444444444448E-2</v>
      </c>
    </row>
    <row r="16" spans="1:6" ht="21" customHeight="1" x14ac:dyDescent="0.25">
      <c r="A16" s="62">
        <v>14</v>
      </c>
      <c r="B16" s="64">
        <v>2023</v>
      </c>
      <c r="C16" s="62">
        <v>8</v>
      </c>
      <c r="D16" s="62"/>
      <c r="E16" s="62"/>
      <c r="F16" s="68">
        <f t="shared" si="0"/>
        <v>0.1111111111111111</v>
      </c>
    </row>
    <row r="17" spans="1:6" ht="21" customHeight="1" x14ac:dyDescent="0.25">
      <c r="A17" s="62">
        <v>15</v>
      </c>
      <c r="B17" s="64">
        <v>2024</v>
      </c>
      <c r="C17" s="62">
        <v>11</v>
      </c>
      <c r="D17" s="62"/>
      <c r="E17" s="62"/>
      <c r="F17" s="68">
        <f t="shared" si="0"/>
        <v>0.15277777777777779</v>
      </c>
    </row>
    <row r="18" spans="1:6" ht="21" customHeight="1" x14ac:dyDescent="0.25">
      <c r="A18" s="62">
        <v>16</v>
      </c>
      <c r="B18" s="64">
        <v>2025</v>
      </c>
      <c r="C18" s="62">
        <v>13</v>
      </c>
      <c r="D18" s="62"/>
      <c r="E18" s="62"/>
      <c r="F18" s="68">
        <f t="shared" si="0"/>
        <v>0.18055555555555555</v>
      </c>
    </row>
    <row r="19" spans="1:6" s="61" customFormat="1" ht="21" customHeight="1" x14ac:dyDescent="0.25">
      <c r="A19" s="59"/>
      <c r="B19" s="60"/>
      <c r="C19" s="59">
        <f>SUM(C3:C18)</f>
        <v>72</v>
      </c>
      <c r="D19" s="59">
        <f t="shared" ref="D19:F19" si="1">SUM(D3:D18)</f>
        <v>9</v>
      </c>
      <c r="E19" s="59">
        <f t="shared" si="1"/>
        <v>12</v>
      </c>
      <c r="F19" s="67">
        <f t="shared" si="1"/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B18"/>
  <sheetViews>
    <sheetView view="pageBreakPreview" zoomScale="60" zoomScaleNormal="100" workbookViewId="0">
      <selection activeCell="K16" sqref="K16"/>
    </sheetView>
  </sheetViews>
  <sheetFormatPr defaultColWidth="9.109375" defaultRowHeight="24.6" x14ac:dyDescent="0.4"/>
  <cols>
    <col min="1" max="1" width="17.44140625" style="32" customWidth="1"/>
    <col min="2" max="2" width="49" style="32" bestFit="1" customWidth="1"/>
    <col min="3" max="16384" width="9.109375" style="32"/>
  </cols>
  <sheetData>
    <row r="1" spans="1:2" x14ac:dyDescent="0.4">
      <c r="A1" s="30" t="s">
        <v>0</v>
      </c>
      <c r="B1" s="31" t="s">
        <v>1477</v>
      </c>
    </row>
    <row r="2" spans="1:2" ht="36.75" customHeight="1" x14ac:dyDescent="0.4">
      <c r="A2" s="33">
        <v>1</v>
      </c>
      <c r="B2" s="34" t="s">
        <v>197</v>
      </c>
    </row>
    <row r="3" spans="1:2" ht="36.75" customHeight="1" x14ac:dyDescent="0.4">
      <c r="A3" s="33">
        <v>2</v>
      </c>
      <c r="B3" s="34" t="s">
        <v>228</v>
      </c>
    </row>
    <row r="4" spans="1:2" ht="36.75" customHeight="1" x14ac:dyDescent="0.4">
      <c r="A4" s="33">
        <v>3</v>
      </c>
      <c r="B4" s="34" t="s">
        <v>272</v>
      </c>
    </row>
    <row r="5" spans="1:2" ht="36.75" customHeight="1" x14ac:dyDescent="0.4">
      <c r="A5" s="33">
        <v>4</v>
      </c>
      <c r="B5" s="34" t="s">
        <v>301</v>
      </c>
    </row>
    <row r="6" spans="1:2" ht="36.75" customHeight="1" x14ac:dyDescent="0.4">
      <c r="A6" s="33">
        <v>5</v>
      </c>
      <c r="B6" s="34" t="s">
        <v>398</v>
      </c>
    </row>
    <row r="7" spans="1:2" ht="36.75" customHeight="1" x14ac:dyDescent="0.4">
      <c r="A7" s="33">
        <v>6</v>
      </c>
      <c r="B7" s="34" t="s">
        <v>286</v>
      </c>
    </row>
    <row r="8" spans="1:2" ht="36.75" customHeight="1" x14ac:dyDescent="0.4">
      <c r="A8" s="33">
        <v>7</v>
      </c>
      <c r="B8" s="35" t="s">
        <v>524</v>
      </c>
    </row>
    <row r="9" spans="1:2" ht="36.75" customHeight="1" x14ac:dyDescent="0.4">
      <c r="A9" s="33">
        <v>8</v>
      </c>
      <c r="B9" s="36" t="s">
        <v>552</v>
      </c>
    </row>
    <row r="10" spans="1:2" ht="36.75" customHeight="1" x14ac:dyDescent="0.4">
      <c r="A10" s="33">
        <v>9</v>
      </c>
      <c r="B10" s="36" t="s">
        <v>564</v>
      </c>
    </row>
    <row r="11" spans="1:2" ht="36.75" customHeight="1" x14ac:dyDescent="0.4">
      <c r="A11" s="33">
        <v>10</v>
      </c>
      <c r="B11" s="36" t="s">
        <v>572</v>
      </c>
    </row>
    <row r="12" spans="1:2" ht="36.75" customHeight="1" x14ac:dyDescent="0.4">
      <c r="A12" s="33">
        <v>11</v>
      </c>
      <c r="B12" s="36" t="s">
        <v>884</v>
      </c>
    </row>
    <row r="13" spans="1:2" ht="36.75" customHeight="1" x14ac:dyDescent="0.4">
      <c r="A13" s="37">
        <v>12</v>
      </c>
      <c r="B13" s="36" t="s">
        <v>587</v>
      </c>
    </row>
    <row r="14" spans="1:2" ht="36.75" customHeight="1" x14ac:dyDescent="0.4">
      <c r="A14" s="33">
        <v>13</v>
      </c>
      <c r="B14" s="36" t="s">
        <v>612</v>
      </c>
    </row>
    <row r="15" spans="1:2" ht="36.75" customHeight="1" x14ac:dyDescent="0.4">
      <c r="A15" s="33">
        <v>14</v>
      </c>
      <c r="B15" s="36" t="s">
        <v>892</v>
      </c>
    </row>
    <row r="16" spans="1:2" ht="36.75" customHeight="1" x14ac:dyDescent="0.4">
      <c r="A16" s="33">
        <v>15</v>
      </c>
      <c r="B16" s="36" t="s">
        <v>894</v>
      </c>
    </row>
    <row r="17" spans="1:2" ht="36.75" customHeight="1" x14ac:dyDescent="0.4">
      <c r="A17" s="33">
        <v>16</v>
      </c>
      <c r="B17" s="36" t="s">
        <v>649</v>
      </c>
    </row>
    <row r="18" spans="1:2" ht="23.25" customHeight="1" x14ac:dyDescent="0.4"/>
  </sheetData>
  <conditionalFormatting sqref="B2:B7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Huong dan su dung</vt:lpstr>
      <vt:lpstr>Master List</vt:lpstr>
      <vt:lpstr>Nghỉ việc</vt:lpstr>
      <vt:lpstr>Lay so HDTV &amp; MSNV</vt:lpstr>
      <vt:lpstr>Theo doi rieng HĐTV</vt:lpstr>
      <vt:lpstr>Lay so HDLD</vt:lpstr>
      <vt:lpstr>Danh mục HDLD</vt:lpstr>
      <vt:lpstr>DS Đoàn Viên</vt:lpstr>
      <vt:lpstr>DSTK2021</vt:lpstr>
      <vt:lpstr>DSTK2022</vt:lpstr>
      <vt:lpstr>Trung thu 2025</vt:lpstr>
      <vt:lpstr>Thong ke</vt:lpstr>
      <vt:lpstr>DSHD</vt:lpstr>
      <vt:lpstr>'DS Đoàn Viên'!Print_Area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ITS</dc:creator>
  <cp:keywords/>
  <dc:description/>
  <cp:lastModifiedBy>Bảo Ngọc Nguyễn</cp:lastModifiedBy>
  <cp:revision/>
  <cp:lastPrinted>2026-04-09T02:09:27Z</cp:lastPrinted>
  <dcterms:created xsi:type="dcterms:W3CDTF">2021-07-29T04:44:39Z</dcterms:created>
  <dcterms:modified xsi:type="dcterms:W3CDTF">2026-07-27T09:40:38Z</dcterms:modified>
  <cp:category/>
  <cp:contentStatus/>
</cp:coreProperties>
</file>